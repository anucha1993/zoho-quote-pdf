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cha.Yo\Downloads\"/>
    </mc:Choice>
  </mc:AlternateContent>
  <xr:revisionPtr revIDLastSave="0" documentId="13_ncr:1_{4A46DB35-B1BD-436C-9138-14DB794614D6}" xr6:coauthVersionLast="47" xr6:coauthVersionMax="47" xr10:uidLastSave="{00000000-0000-0000-0000-000000000000}"/>
  <bookViews>
    <workbookView xWindow="28680" yWindow="-120" windowWidth="29040" windowHeight="15720" tabRatio="933" firstSheet="2" activeTab="2" xr2:uid="{00000000-000D-0000-FFFF-FFFF00000000}"/>
  </bookViews>
  <sheets>
    <sheet name="เสนอราคาต่อปี5-6(Visa1Work1)" sheetId="26" state="hidden" r:id="rId1"/>
    <sheet name="เสนอราคาต่อปี5-6(VisaWorkปีที่2" sheetId="27" state="hidden" r:id="rId2"/>
    <sheet name="คนเมียวดี  ( เขียว-แดง)" sheetId="263" r:id="rId3"/>
    <sheet name="ขั้นตอน" sheetId="265" r:id="rId4"/>
  </sheets>
  <definedNames>
    <definedName name="_xlnm.Print_Area" localSheetId="2">'คนเมียวดี  ( เขียว-แดง)'!$A$1:$L$28</definedName>
    <definedName name="_xlnm.Print_Area">#REF!</definedName>
    <definedName name="quotation_form" localSheetId="2">#REF!</definedName>
    <definedName name="quotation_form">#REF!</definedName>
    <definedName name="quotationThefisrt" localSheetId="2">#REF!</definedName>
    <definedName name="quotationThefisrt">#REF!</definedName>
  </definedNames>
  <calcPr calcId="191029"/>
</workbook>
</file>

<file path=xl/calcChain.xml><?xml version="1.0" encoding="utf-8"?>
<calcChain xmlns="http://schemas.openxmlformats.org/spreadsheetml/2006/main">
  <c r="C14" i="265" l="1"/>
  <c r="B14" i="263" l="1"/>
  <c r="I14" i="27" l="1"/>
  <c r="A13" i="27" s="1"/>
  <c r="I14" i="26"/>
  <c r="A13" i="26" s="1"/>
</calcChain>
</file>

<file path=xl/sharedStrings.xml><?xml version="1.0" encoding="utf-8"?>
<sst xmlns="http://schemas.openxmlformats.org/spreadsheetml/2006/main" count="166" uniqueCount="107">
  <si>
    <t>เรียน</t>
  </si>
  <si>
    <t>ใบเสนอราคาเลขที่ :</t>
  </si>
  <si>
    <t>ลำดับที่</t>
  </si>
  <si>
    <t>รายการ</t>
  </si>
  <si>
    <t>ราคา</t>
  </si>
  <si>
    <t>จำนวน</t>
  </si>
  <si>
    <t>จำนวนเงิน</t>
  </si>
  <si>
    <t>ITEM</t>
  </si>
  <si>
    <t>DESCRIPTION</t>
  </si>
  <si>
    <t>Price</t>
  </si>
  <si>
    <t>Quantity</t>
  </si>
  <si>
    <t>Amount</t>
  </si>
  <si>
    <t>ยอดรวม</t>
  </si>
  <si>
    <t>บริษัทนำคนต่างด้าวมาทำงานในประเทศ เดอะ เฟิร์ส กูด แมน กรุ๊ป จำกัด ใคร่ขอขอบพระคุณที่ไว้วางใจเรียกใช้บริการของเราด้วยดีเสมอมา</t>
  </si>
  <si>
    <t>หลังจาก ลูกค้า/ผู้มีอำนาจลงนามได้ลงนามอนุมัติในเอกสารฉบับนี้แล้ว รบกวน ส่งแฟกซ์ หรือ อีเมล์ กลับมายัง</t>
  </si>
  <si>
    <t>บริษัทนำคนต่างด้าวมาทำงานในประเทศ เดอะ เฟิร์ส กูด แมน กรุ๊ป จำกัด ด้วย เพื่อดำเนินการเอกสารในขั้นตอนต่อไป</t>
  </si>
  <si>
    <t>ใบเสนอราคาเลขที่</t>
  </si>
  <si>
    <t>วันที่</t>
  </si>
  <si>
    <t>ผู้เสนอ</t>
  </si>
  <si>
    <t>โทรศัพท์</t>
  </si>
  <si>
    <t>บริษัทนำคนต่างด้าวมาทำงานในประเทศ เดอะ เฟิร์ส กูด แมน กรุ๊ป จำกัด  ใคร่ขอเสนอราคา และ เงื่อนไข ตามรายละเอียด นี้.-</t>
  </si>
  <si>
    <r>
      <rPr>
        <b/>
        <sz val="16"/>
        <color indexed="8"/>
        <rFont val="TH SarabunPSK"/>
        <family val="2"/>
      </rPr>
      <t xml:space="preserve">   </t>
    </r>
    <r>
      <rPr>
        <b/>
        <u/>
        <sz val="16"/>
        <color indexed="8"/>
        <rFont val="TH SarabunPSK"/>
        <family val="2"/>
      </rPr>
      <t>สิทธิประโยชน์ และเงื่อนไขการชำระค่าบริการ ค่าใช้จ่าย</t>
    </r>
  </si>
  <si>
    <t xml:space="preserve">  5. อัตราค่าบริการตามใบเสนอราคานี้ ยืนยันราคา 30 วัน นับจากวันที่เสนอราคา</t>
  </si>
  <si>
    <t xml:space="preserve">  6. อัตราข้างต้นไม่รวมค่าธรรมเนียมรายงานตัว 90 วัน(ถ้ามี) การรายงานตัวเกิดขึ้นระหว่างการนำเอกสารมาต่ออายุ (จะตรวจสอบและแจ้งให้ทราบก่อน)</t>
  </si>
  <si>
    <t xml:space="preserve">  8. ระยะเวลาการดำเนินการประมาณ  5-7  วันทำการ ในการต่ออายุวีซ่าและยื่นคำขอต่อใบอนุญาตทำงาน</t>
  </si>
  <si>
    <t>ที่อยู่</t>
  </si>
  <si>
    <t>ค่าบริการ ค่าธรรมเนียมและค่าใช้จ่ายจัดทำเอกสาร (Documents &amp; Service  fee)</t>
  </si>
  <si>
    <t>ผู้ติดต่อ</t>
  </si>
  <si>
    <t>ยกเลิก</t>
  </si>
  <si>
    <t>ใบเสนอราคา ต่อวีซ่าและใบอนุญาตทำงาน กลุ่มคนต่างด้าวตามระบบ MOU ครบวาระการจ้างงาน 4 ปี (ต่อปี 5-6)  ต่อวีซ่าปีที่ 1</t>
  </si>
  <si>
    <r>
      <rPr>
        <i/>
        <sz val="14"/>
        <color indexed="8"/>
        <rFont val="TH SarabunPSK"/>
        <family val="2"/>
      </rPr>
      <t xml:space="preserve">   *** </t>
    </r>
    <r>
      <rPr>
        <i/>
        <u/>
        <sz val="14"/>
        <color indexed="8"/>
        <rFont val="TH SarabunPSK"/>
        <family val="2"/>
      </rPr>
      <t>หมายเหตุ</t>
    </r>
    <r>
      <rPr>
        <i/>
        <sz val="14"/>
        <color indexed="8"/>
        <rFont val="TH SarabunPSK"/>
        <family val="2"/>
      </rPr>
      <t xml:space="preserve"> :  ราคาที่เสนอข้างต้น ยังไม่รวมค่าวางหลักประกันที่สำนักงานจัดหางานของนายจ้างในการจ้างคนต่างด้าว คนละ 1,000 บาท ต่อคน  </t>
    </r>
  </si>
  <si>
    <t xml:space="preserve">  หากนายจ้าง/ผู้ว่าจ้าง ชำระแล้วตอน ต่ออายุปีที่ 3-4 หรือ วางครบ 100,000 บาท แล้วตามกฎหมาย ไม่ต้องชำระเพิ่มเติมอีก ทั้งนี้ต้องมีเอกสารแนบเพื่อยืนยันให้ชัดเจน</t>
  </si>
  <si>
    <t xml:space="preserve">  ซึ่งค่าวางหลักประกันสามารถทำเรื่องขอเงินคืนได้ที่สำนักงานจัดหางานเมื่อคนต่างด้าวทำครบสัญญาและนายจ้างปฏิบัติตามกฎหมาย</t>
  </si>
  <si>
    <r>
      <rPr>
        <sz val="14"/>
        <color indexed="8"/>
        <rFont val="TH SarabunPSK"/>
        <family val="2"/>
      </rPr>
      <t xml:space="preserve">  1. อัตรานี้รวมค่าจัดทำเอกสารและค่าธรรมเนียมในการยื่นขอต่ออายุวีซ่า(NON-LA) 1 ปี แรก (</t>
    </r>
    <r>
      <rPr>
        <i/>
        <sz val="14"/>
        <color indexed="8"/>
        <rFont val="TH SarabunPSK"/>
        <family val="2"/>
      </rPr>
      <t>ทั้งนี้ จะไม่เกินอายุของหนังสือเดินทาง</t>
    </r>
    <r>
      <rPr>
        <sz val="14"/>
        <color indexed="8"/>
        <rFont val="TH SarabunPSK"/>
        <family val="2"/>
      </rPr>
      <t>)</t>
    </r>
  </si>
  <si>
    <t xml:space="preserve">       หมายเหตุ : ตามระเบียบของกระทรวงมหาดไทย อนุญาตให้ตรวจลงตราวีซ่าคราวละหนึ่งปีเท่านั้น</t>
  </si>
  <si>
    <t xml:space="preserve">  2. อัตรานี้รวมค่าจัดทำเอกสาร ใบรับคำขอ และค่าธรรมเนียมใบอนุญาตทำงาน 1 ปี และการทำบัตรประจำตัวบุคคลซึ่งไม่มีสัญชาติไทย(บัตรชมพู) แล้ว</t>
  </si>
  <si>
    <t xml:space="preserve">  3. อัตรานี้รวมค่าตรวจสุขภาพคนต่างด้าว ค่ารถ (รับ-ส่ง) เดินทางเพื่อไปตรวจสุขภาพ (แบบไม่ประกันสุขภาพ)</t>
  </si>
  <si>
    <t xml:space="preserve">  4. เงื่อนไขการชำระเงิน  : </t>
  </si>
  <si>
    <t>1. งวดแรก    จำนวน    4,000 (สี่พันบาท)  ชำระ ณ. วันที่ทำสัญญาตกลงดำเนินการกับทาง บนจ. เดอะ เฟิร์ส กูด แมน กรุ๊ป จำกัด</t>
  </si>
  <si>
    <t>2. งวดที่สอง  จำนวนที่เหลือ ชำระ ณ. วันที่กระบวนการนำเข้าคนต่างด้าวแล้วเสร็จ และนำส่งให้กับทางนายจ้าง</t>
  </si>
  <si>
    <r>
      <rPr>
        <sz val="14"/>
        <color theme="1"/>
        <rFont val="TH SarabunPSK"/>
        <family val="2"/>
      </rPr>
      <t xml:space="preserve">  7.</t>
    </r>
    <r>
      <rPr>
        <sz val="14"/>
        <color rgb="FFFF0000"/>
        <rFont val="TH SarabunPSK"/>
        <family val="2"/>
      </rPr>
      <t xml:space="preserve"> อัตราข้างต้นไม่รวมค่าธรรมเนียมการขยายหรือทำหนังสือเดินทางใหม่ และค่าธรรมเนียมหนังสือรับรองบุคคล กับย้ายตราวีซ่า (จากเล่มเดิมสู่เล่มใหม่)</t>
    </r>
  </si>
  <si>
    <t xml:space="preserve">  9. ระยะเวลาการทำบัตรประจำตัวบุคคลซึ่งไม่มีสัญชาติไทย(บัตรชมพู) ขึ้นอยู่กับการจัดลำดับคิวของ กรมการปกครอง</t>
  </si>
  <si>
    <t xml:space="preserve"> 10. บริษัทฯ ขอสงวนสิทธิ์เก็บค่าบริการ ค่าธรรมเนียม และค่าใช้จ่าย กรณียกเลิกไม่ดำเนินการต่อไม่ว่ากรณีใดๆ หลังจากการยื่นเอกสารแล้ว เต็มจำนวน</t>
  </si>
  <si>
    <t xml:space="preserve"> 11. บริษัทนำคนต่างด้าวมาทำงานในประเทศ เดอะ เฟิร์ส กูด แมน กรุ๊ป จำกัด จะดำเนินการยื่นเอกสารและจัดส่งเอกสารที่สมบูรณ์ให้นายจ้างทุกขั้นตอน</t>
  </si>
  <si>
    <t xml:space="preserve"> 12. บริษัทไม่ขอรับผิดชอบในความบกพร่องของเอกสารคนต่างด้าว จนเป็นเหตุให้ไม่สามารถดำเนินการต่ออายุได้ตามขั้นตอนปกติ</t>
  </si>
  <si>
    <t xml:space="preserve"> Update October 30, 2020  by James</t>
  </si>
  <si>
    <t>บริษัท จีเอฟพีที นิชิเร (ประเทศไทย) จำกัด</t>
  </si>
  <si>
    <t>CTN 2021-0110</t>
  </si>
  <si>
    <t xml:space="preserve">เลขที่ 77 หมู่ที่ 4 ตำบลห้างสูง อำเภอหนองใหญ่ จังหวัดชลบุรี </t>
  </si>
  <si>
    <t>02 มีนาคม 2564</t>
  </si>
  <si>
    <t>พี่อ้อ</t>
  </si>
  <si>
    <t xml:space="preserve">คุณออโต้ หัวหน้าฝ่ายบุคคล </t>
  </si>
  <si>
    <t>089-4475359</t>
  </si>
  <si>
    <t>ใบเสนอราคา ต่อวีซ่าและใบอนุญาตทำงาน กลุ่มคนต่างด้าวตามระบบ MOU ครบวาระการจ้างงาน 4 ปี (ต่อปี 5-6)  ต่อวีซ่าปีที่ 2</t>
  </si>
  <si>
    <t>ค่าบริการ ค่าธรรมเนียม และ ค่าใช้จ่ายจัดทำเอกสาร (Documents &amp; Service  fee)</t>
  </si>
  <si>
    <r>
      <rPr>
        <sz val="14"/>
        <color indexed="8"/>
        <rFont val="TH SarabunPSK"/>
        <family val="2"/>
      </rPr>
      <t xml:space="preserve">  1. อัตรานี้รวมค่าจัดทำเอกสารและค่าธรรมเนียมในการยื่นขอต่ออายุวีซ่า(NON-LA) 1 ปี ครั้งที่สอง (</t>
    </r>
    <r>
      <rPr>
        <i/>
        <sz val="14"/>
        <color indexed="8"/>
        <rFont val="TH SarabunPSK"/>
        <family val="2"/>
      </rPr>
      <t>ทั้งนี้ จะไม่เกินอายุของหนังสือเดินทาง</t>
    </r>
    <r>
      <rPr>
        <sz val="14"/>
        <color indexed="8"/>
        <rFont val="TH SarabunPSK"/>
        <family val="2"/>
      </rPr>
      <t>)</t>
    </r>
  </si>
  <si>
    <t xml:space="preserve">  4. เงื่อนไขการชำระเงิน : </t>
  </si>
  <si>
    <t>1. ชำระ ณ. วันที่กระบวนการนำเข้าคนต่างด้าวแล้วเสร็จ และนำส่งให้กับทางนายจ้าง</t>
  </si>
  <si>
    <t>ยอดรวมทั้งหมด</t>
  </si>
  <si>
    <t>วันที่ :</t>
  </si>
  <si>
    <t>ผู้เสนอราคา :</t>
  </si>
  <si>
    <t>โทรศัพท์ :</t>
  </si>
  <si>
    <t xml:space="preserve">ติดต่อ </t>
  </si>
  <si>
    <t xml:space="preserve">บริษัทนำคนต่างด้าวมาทำงานในประเทศ เดอะ เฟิร์ส กูด แมน กรุ๊ป จำกัด								</t>
  </si>
  <si>
    <t>บริษัทฯ ขอขอบพระคุณท่านที่ให้ความไว้วางใจและเลือกใช้บริการด้วยดีเสมอมา</t>
  </si>
  <si>
    <t>หากท่านพิจารณาและยอมรับใบเสนอราคาฉบับนี้ กรุณาลงนามโดยผู้มีอำนาจพร้อมประทับตราบริษัท (ถ้ามี)</t>
  </si>
  <si>
    <t xml:space="preserve">และส่งกลับทาง LINE หรืออีเมล เพื่อให้บริษัทฯ ดำเนินการในขั้นตอนต่อไป	</t>
  </si>
  <si>
    <t>การยืนยันการใช้บริการ</t>
  </si>
  <si>
    <t>ข้าพเจ้าตกลงใช้บริการตามรายการ อัตราค่าบริการ และรายละเอียดที่ระบุในใบเสนอราคาฉบับนี้ พร้อมยอมรับข้อกำหนดและเงื่อนไขการให้บริการทุกประการ</t>
  </si>
  <si>
    <t xml:space="preserve">ประเภทใบงาน : </t>
  </si>
  <si>
    <t xml:space="preserve">Doc Group : </t>
  </si>
  <si>
    <t>ISO</t>
  </si>
  <si>
    <t>ลำดับ</t>
  </si>
  <si>
    <t>ขั้นตอน</t>
  </si>
  <si>
    <t>ระยะเวลา</t>
  </si>
  <si>
    <t>ฝ่ายบันทึกข้อมูล Tracking System / สถานะการดำเนินการ</t>
  </si>
  <si>
    <t>เปิดใบงาน</t>
  </si>
  <si>
    <t>วัน</t>
  </si>
  <si>
    <t>ประสานงานขาย</t>
  </si>
  <si>
    <t>เจ้าหน้าที่เอกสาร</t>
  </si>
  <si>
    <t>ส่งมอบเอกสารให้นายจ้างและแรงงาน</t>
  </si>
  <si>
    <t>เก็บค่าบริการ</t>
  </si>
  <si>
    <t>ฝ่ายบัญชี</t>
  </si>
  <si>
    <t>รวมระยะเวลาดำเนินการโดยประมาณ</t>
  </si>
  <si>
    <t>เปลี่ยนหนังสือ CI (เล่มเขียว) เป็น Passport PJ (เล่มแดง) ณ ประเทศต้นทาง</t>
  </si>
  <si>
    <t>CI-PJ</t>
  </si>
  <si>
    <t>รับเอกสารแรงงาน ตรวจสอบและบันทึกข้อมูลเตรียมยื่น</t>
  </si>
  <si>
    <t>นัดหมายและจองคิวดำเนินการ</t>
  </si>
  <si>
    <t>จัดทำหนังสือเดินทาง Passport PJ</t>
  </si>
  <si>
    <t>ดำเนินการย้ายตราประทับวีซ่า</t>
  </si>
  <si>
    <t>บันทึกข้อมูลแรงงานในระบบ Labour</t>
  </si>
  <si>
    <t>FA-SA-02-92-1</t>
  </si>
  <si>
    <t>${Quotes.Account Name}</t>
  </si>
  <si>
    <t>${Quotes.Quote Number}</t>
  </si>
  <si>
    <t>${Quotes.Billing Street} ${Quotes.Billing City}
${Quotes.Billing State}  ${Quotes.Billing Code}</t>
  </si>
  <si>
    <t>${Quotes.วันที่เสนอราคา}</t>
  </si>
  <si>
    <t>${Quotes.Contact Name}</t>
  </si>
  <si>
    <t>${Quotes.ชื่อจริง} ${Quotes.นามสกุล} ${Lookup:รหัสพนักงาน.ชื่อเล่น}</t>
  </si>
  <si>
    <t xml:space="preserve">${Contacts.Mobile} </t>
  </si>
  <si>
    <t xml:space="preserve">  ${Quotes.หัวข้อการให้บริการ}</t>
  </si>
  <si>
    <t>${QT Thailand.S.NO}</t>
  </si>
  <si>
    <t>${QT Thailand.Product Name}</t>
  </si>
  <si>
    <t>${QT Thailand.List Price}</t>
  </si>
  <si>
    <t>${QT Thailand.Quantity</t>
  </si>
  <si>
    <t>${QT Thailand.Amount}</t>
  </si>
  <si>
    <t>${Quotes.เงื่อนไข และรายละเอียการชำระเงิน}</t>
  </si>
  <si>
    <t xml:space="preserve">  ${Quotes.ISO}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</si>
</sst>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7041E]d\ mmmm\ yyyy;@"/>
  </numFmts>
  <fonts count="48">
    <font>
      <sz val="14"/>
      <name val="CordiaUPC"/>
      <charset val="134"/>
    </font>
    <font>
      <sz val="11"/>
      <color theme="1"/>
      <name val="Tahoma"/>
      <family val="2"/>
      <scheme val="minor"/>
    </font>
    <font>
      <b/>
      <sz val="16"/>
      <color indexed="8"/>
      <name val="TH SarabunPSK"/>
      <family val="2"/>
    </font>
    <font>
      <sz val="18"/>
      <color indexed="8"/>
      <name val="TH SarabunPSK"/>
      <family val="2"/>
    </font>
    <font>
      <sz val="16"/>
      <color indexed="8"/>
      <name val="TH SarabunPSK"/>
      <family val="2"/>
    </font>
    <font>
      <b/>
      <sz val="18"/>
      <color indexed="8"/>
      <name val="TH SarabunPSK"/>
      <family val="2"/>
    </font>
    <font>
      <sz val="16"/>
      <name val="TH SarabunPSK"/>
      <family val="2"/>
    </font>
    <font>
      <b/>
      <u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color theme="1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  <font>
      <b/>
      <sz val="13"/>
      <color indexed="8"/>
      <name val="TH SarabunPSK"/>
      <family val="2"/>
    </font>
    <font>
      <b/>
      <sz val="14"/>
      <color indexed="8"/>
      <name val="TH SarabunPSK"/>
      <family val="2"/>
    </font>
    <font>
      <b/>
      <sz val="18"/>
      <name val="TH SarabunPSK"/>
      <family val="2"/>
    </font>
    <font>
      <sz val="14"/>
      <color indexed="58"/>
      <name val="TH SarabunPSK"/>
      <family val="2"/>
    </font>
    <font>
      <sz val="16"/>
      <color indexed="8"/>
      <name val="Angsana New"/>
      <family val="1"/>
    </font>
    <font>
      <sz val="18"/>
      <color indexed="8"/>
      <name val="Angsana New"/>
      <family val="1"/>
    </font>
    <font>
      <b/>
      <sz val="18"/>
      <color indexed="8"/>
      <name val="Angsana New"/>
      <family val="1"/>
    </font>
    <font>
      <b/>
      <sz val="18"/>
      <name val="Angsana New"/>
      <family val="1"/>
    </font>
    <font>
      <b/>
      <i/>
      <sz val="18"/>
      <name val="TH SarabunPSK"/>
      <family val="2"/>
    </font>
    <font>
      <sz val="18"/>
      <name val="TH SarabunPSK"/>
      <family val="2"/>
    </font>
    <font>
      <sz val="15"/>
      <color indexed="8"/>
      <name val="TH SarabunPSK"/>
      <family val="2"/>
    </font>
    <font>
      <b/>
      <u/>
      <sz val="12"/>
      <name val="TH SarabunPSK"/>
      <family val="2"/>
    </font>
    <font>
      <b/>
      <sz val="13"/>
      <name val="TH SarabunPSK"/>
      <family val="2"/>
    </font>
    <font>
      <b/>
      <sz val="14"/>
      <name val="TH SarabunPSK"/>
      <family val="2"/>
    </font>
    <font>
      <b/>
      <sz val="18"/>
      <color theme="1"/>
      <name val="Angsana New"/>
      <family val="1"/>
    </font>
    <font>
      <sz val="18"/>
      <color rgb="FFFF0000"/>
      <name val="Angsana New"/>
      <family val="1"/>
    </font>
    <font>
      <i/>
      <sz val="18"/>
      <color indexed="8"/>
      <name val="Angsana New"/>
      <family val="1"/>
    </font>
    <font>
      <b/>
      <sz val="15"/>
      <color indexed="8"/>
      <name val="TH SarabunPSK"/>
      <family val="2"/>
    </font>
    <font>
      <b/>
      <sz val="16"/>
      <color rgb="FFFF0000"/>
      <name val="TH SarabunPSK"/>
      <family val="2"/>
    </font>
    <font>
      <b/>
      <i/>
      <sz val="16"/>
      <name val="TH SarabunPSK"/>
      <family val="2"/>
    </font>
    <font>
      <b/>
      <sz val="15"/>
      <color indexed="8"/>
      <name val="Angsana New"/>
      <family val="1"/>
    </font>
    <font>
      <i/>
      <sz val="14"/>
      <color indexed="8"/>
      <name val="TH SarabunPSK"/>
      <family val="2"/>
    </font>
    <font>
      <sz val="14"/>
      <color rgb="FFFF0000"/>
      <name val="TH SarabunPSK"/>
      <family val="2"/>
    </font>
    <font>
      <sz val="14"/>
      <name val="CordiaUPC"/>
      <family val="2"/>
    </font>
    <font>
      <i/>
      <u/>
      <sz val="14"/>
      <color indexed="8"/>
      <name val="TH SarabunPSK"/>
      <family val="2"/>
    </font>
    <font>
      <sz val="14"/>
      <name val="CordiaUPC"/>
      <family val="2"/>
    </font>
    <font>
      <b/>
      <sz val="18"/>
      <color rgb="FFFF0000"/>
      <name val="Angsana New"/>
      <family val="1"/>
    </font>
    <font>
      <b/>
      <sz val="72"/>
      <color rgb="FFFF0000"/>
      <name val="Angsana New"/>
      <family val="1"/>
    </font>
    <font>
      <sz val="22"/>
      <name val="Angsana New"/>
      <family val="1"/>
    </font>
    <font>
      <sz val="22"/>
      <color indexed="8"/>
      <name val="Angsana New"/>
      <family val="1"/>
    </font>
    <font>
      <b/>
      <i/>
      <sz val="22"/>
      <name val="Angsana New"/>
      <family val="1"/>
    </font>
    <font>
      <b/>
      <sz val="22"/>
      <color indexed="8"/>
      <name val="Angsana New"/>
      <family val="1"/>
    </font>
    <font>
      <b/>
      <sz val="22"/>
      <name val="Angsana New"/>
      <family val="1"/>
    </font>
    <font>
      <b/>
      <sz val="24"/>
      <color indexed="8"/>
      <name val="Angsana New"/>
      <family val="1"/>
    </font>
    <font>
      <sz val="11"/>
      <color rgb="FFFF0000"/>
      <name val="Tahoma"/>
      <family val="2"/>
      <charset val="222"/>
      <scheme val="minor"/>
    </font>
    <font>
      <sz val="11"/>
      <color rgb="FF0070C0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1">
    <xf numFmtId="0" fontId="0" fillId="0" borderId="0"/>
    <xf numFmtId="187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5" fillId="0" borderId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5" fillId="0" borderId="0"/>
    <xf numFmtId="187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</cellStyleXfs>
  <cellXfs count="272">
    <xf numFmtId="0" fontId="0" fillId="0" borderId="0" xfId="0"/>
    <xf numFmtId="0" fontId="2" fillId="0" borderId="0" xfId="7" applyFont="1"/>
    <xf numFmtId="0" fontId="2" fillId="0" borderId="0" xfId="7" applyFont="1" applyAlignment="1">
      <alignment vertical="center"/>
    </xf>
    <xf numFmtId="0" fontId="4" fillId="0" borderId="0" xfId="7" applyFont="1"/>
    <xf numFmtId="0" fontId="4" fillId="0" borderId="0" xfId="7" applyFont="1" applyAlignment="1">
      <alignment vertical="top"/>
    </xf>
    <xf numFmtId="0" fontId="4" fillId="0" borderId="0" xfId="7" applyFont="1" applyAlignment="1">
      <alignment horizontal="center"/>
    </xf>
    <xf numFmtId="0" fontId="2" fillId="0" borderId="1" xfId="7" applyFont="1" applyBorder="1"/>
    <xf numFmtId="0" fontId="3" fillId="0" borderId="2" xfId="7" applyFont="1" applyBorder="1"/>
    <xf numFmtId="0" fontId="2" fillId="0" borderId="2" xfId="7" applyFont="1" applyBorder="1"/>
    <xf numFmtId="0" fontId="2" fillId="0" borderId="2" xfId="7" applyFont="1" applyBorder="1" applyAlignment="1">
      <alignment vertical="top"/>
    </xf>
    <xf numFmtId="0" fontId="2" fillId="0" borderId="2" xfId="7" applyFont="1" applyBorder="1" applyAlignment="1">
      <alignment horizontal="center" vertical="top"/>
    </xf>
    <xf numFmtId="0" fontId="5" fillId="2" borderId="3" xfId="7" applyFont="1" applyFill="1" applyBorder="1"/>
    <xf numFmtId="0" fontId="3" fillId="2" borderId="0" xfId="7" applyFont="1" applyFill="1"/>
    <xf numFmtId="0" fontId="2" fillId="2" borderId="0" xfId="7" applyFont="1" applyFill="1"/>
    <xf numFmtId="0" fontId="2" fillId="2" borderId="0" xfId="7" applyFont="1" applyFill="1" applyAlignment="1">
      <alignment horizontal="center"/>
    </xf>
    <xf numFmtId="0" fontId="2" fillId="0" borderId="8" xfId="7" applyFont="1" applyBorder="1" applyAlignment="1">
      <alignment horizontal="left"/>
    </xf>
    <xf numFmtId="0" fontId="2" fillId="0" borderId="10" xfId="7" applyFont="1" applyBorder="1" applyAlignment="1">
      <alignment horizontal="left"/>
    </xf>
    <xf numFmtId="0" fontId="2" fillId="0" borderId="10" xfId="7" applyFont="1" applyBorder="1" applyAlignment="1">
      <alignment horizontal="center"/>
    </xf>
    <xf numFmtId="0" fontId="2" fillId="4" borderId="5" xfId="7" applyFont="1" applyFill="1" applyBorder="1" applyAlignment="1">
      <alignment horizontal="center" vertical="top"/>
    </xf>
    <xf numFmtId="0" fontId="2" fillId="4" borderId="0" xfId="7" applyFont="1" applyFill="1" applyAlignment="1">
      <alignment horizontal="center" vertical="top"/>
    </xf>
    <xf numFmtId="0" fontId="2" fillId="4" borderId="6" xfId="7" applyFont="1" applyFill="1" applyBorder="1" applyAlignment="1">
      <alignment horizontal="center" vertical="top"/>
    </xf>
    <xf numFmtId="0" fontId="2" fillId="4" borderId="12" xfId="7" applyFont="1" applyFill="1" applyBorder="1" applyAlignment="1">
      <alignment horizontal="center" vertical="top"/>
    </xf>
    <xf numFmtId="0" fontId="4" fillId="2" borderId="13" xfId="7" applyFont="1" applyFill="1" applyBorder="1" applyAlignment="1">
      <alignment horizontal="center" vertical="center"/>
    </xf>
    <xf numFmtId="4" fontId="4" fillId="2" borderId="16" xfId="7" applyNumberFormat="1" applyFont="1" applyFill="1" applyBorder="1" applyAlignment="1">
      <alignment horizontal="center" vertical="center"/>
    </xf>
    <xf numFmtId="3" fontId="4" fillId="2" borderId="16" xfId="7" applyNumberFormat="1" applyFont="1" applyFill="1" applyBorder="1" applyAlignment="1">
      <alignment horizontal="center" vertical="center"/>
    </xf>
    <xf numFmtId="0" fontId="7" fillId="4" borderId="3" xfId="7" applyFont="1" applyFill="1" applyBorder="1"/>
    <xf numFmtId="0" fontId="4" fillId="4" borderId="0" xfId="7" applyFont="1" applyFill="1"/>
    <xf numFmtId="0" fontId="4" fillId="4" borderId="0" xfId="7" applyFont="1" applyFill="1" applyAlignment="1">
      <alignment horizontal="center"/>
    </xf>
    <xf numFmtId="0" fontId="8" fillId="0" borderId="0" xfId="7" applyFont="1" applyAlignment="1">
      <alignment vertical="center"/>
    </xf>
    <xf numFmtId="0" fontId="10" fillId="0" borderId="0" xfId="7" applyFont="1"/>
    <xf numFmtId="0" fontId="8" fillId="0" borderId="0" xfId="7" applyFont="1"/>
    <xf numFmtId="0" fontId="2" fillId="0" borderId="19" xfId="7" applyFont="1" applyBorder="1" applyAlignment="1">
      <alignment vertical="top"/>
    </xf>
    <xf numFmtId="0" fontId="2" fillId="2" borderId="20" xfId="7" applyFont="1" applyFill="1" applyBorder="1" applyAlignment="1">
      <alignment horizontal="right"/>
    </xf>
    <xf numFmtId="0" fontId="2" fillId="0" borderId="0" xfId="7" applyFont="1" applyAlignment="1">
      <alignment wrapText="1"/>
    </xf>
    <xf numFmtId="0" fontId="2" fillId="0" borderId="20" xfId="7" applyFont="1" applyBorder="1" applyAlignment="1">
      <alignment horizontal="left"/>
    </xf>
    <xf numFmtId="0" fontId="2" fillId="4" borderId="22" xfId="7" applyFont="1" applyFill="1" applyBorder="1" applyAlignment="1">
      <alignment horizontal="center" vertical="top"/>
    </xf>
    <xf numFmtId="4" fontId="4" fillId="2" borderId="24" xfId="7" applyNumberFormat="1" applyFont="1" applyFill="1" applyBorder="1" applyAlignment="1">
      <alignment horizontal="center" vertical="center"/>
    </xf>
    <xf numFmtId="0" fontId="11" fillId="0" borderId="0" xfId="7" applyFont="1" applyAlignment="1">
      <alignment vertical="center"/>
    </xf>
    <xf numFmtId="0" fontId="4" fillId="4" borderId="20" xfId="7" applyFont="1" applyFill="1" applyBorder="1"/>
    <xf numFmtId="0" fontId="8" fillId="0" borderId="0" xfId="7" applyFont="1" applyAlignment="1">
      <alignment horizontal="center"/>
    </xf>
    <xf numFmtId="0" fontId="12" fillId="0" borderId="0" xfId="7" applyFont="1" applyAlignment="1">
      <alignment vertical="center"/>
    </xf>
    <xf numFmtId="0" fontId="8" fillId="0" borderId="0" xfId="7" applyFont="1" applyAlignment="1">
      <alignment vertical="top"/>
    </xf>
    <xf numFmtId="0" fontId="8" fillId="0" borderId="20" xfId="7" applyFont="1" applyBorder="1" applyAlignment="1">
      <alignment horizontal="center"/>
    </xf>
    <xf numFmtId="0" fontId="17" fillId="0" borderId="0" xfId="7" applyFont="1"/>
    <xf numFmtId="0" fontId="17" fillId="0" borderId="0" xfId="7" applyFont="1" applyAlignment="1">
      <alignment horizontal="left"/>
    </xf>
    <xf numFmtId="0" fontId="13" fillId="0" borderId="0" xfId="7" applyFont="1" applyAlignment="1">
      <alignment vertical="center"/>
    </xf>
    <xf numFmtId="0" fontId="2" fillId="0" borderId="11" xfId="7" applyFont="1" applyBorder="1" applyAlignment="1">
      <alignment horizontal="center" vertical="center"/>
    </xf>
    <xf numFmtId="0" fontId="13" fillId="4" borderId="5" xfId="7" applyFont="1" applyFill="1" applyBorder="1" applyAlignment="1">
      <alignment horizontal="center" vertical="top"/>
    </xf>
    <xf numFmtId="0" fontId="13" fillId="4" borderId="0" xfId="7" applyFont="1" applyFill="1" applyAlignment="1">
      <alignment vertical="top"/>
    </xf>
    <xf numFmtId="0" fontId="13" fillId="4" borderId="0" xfId="7" applyFont="1" applyFill="1" applyAlignment="1">
      <alignment horizontal="center" vertical="top"/>
    </xf>
    <xf numFmtId="0" fontId="13" fillId="4" borderId="6" xfId="7" applyFont="1" applyFill="1" applyBorder="1" applyAlignment="1">
      <alignment horizontal="center" vertical="top"/>
    </xf>
    <xf numFmtId="0" fontId="13" fillId="4" borderId="12" xfId="7" applyFont="1" applyFill="1" applyBorder="1" applyAlignment="1">
      <alignment horizontal="center" vertical="top"/>
    </xf>
    <xf numFmtId="0" fontId="4" fillId="2" borderId="13" xfId="7" applyFont="1" applyFill="1" applyBorder="1" applyAlignment="1">
      <alignment horizontal="center"/>
    </xf>
    <xf numFmtId="0" fontId="23" fillId="0" borderId="0" xfId="7" applyFont="1" applyAlignment="1">
      <alignment vertical="center"/>
    </xf>
    <xf numFmtId="0" fontId="23" fillId="0" borderId="0" xfId="7" applyFont="1"/>
    <xf numFmtId="0" fontId="13" fillId="4" borderId="23" xfId="7" applyFont="1" applyFill="1" applyBorder="1" applyAlignment="1">
      <alignment horizontal="center" vertical="top"/>
    </xf>
    <xf numFmtId="0" fontId="25" fillId="0" borderId="0" xfId="7" applyFont="1" applyAlignment="1">
      <alignment vertical="center"/>
    </xf>
    <xf numFmtId="0" fontId="11" fillId="0" borderId="0" xfId="7" applyFont="1"/>
    <xf numFmtId="4" fontId="14" fillId="0" borderId="38" xfId="4" applyNumberFormat="1" applyFont="1" applyBorder="1" applyAlignment="1">
      <alignment horizontal="center" vertical="center"/>
    </xf>
    <xf numFmtId="0" fontId="15" fillId="0" borderId="0" xfId="7" applyFont="1"/>
    <xf numFmtId="0" fontId="2" fillId="0" borderId="14" xfId="7" applyFont="1" applyBorder="1" applyAlignment="1">
      <alignment horizontal="center" vertical="center"/>
    </xf>
    <xf numFmtId="0" fontId="18" fillId="0" borderId="0" xfId="7" applyFont="1" applyAlignment="1">
      <alignment vertical="center"/>
    </xf>
    <xf numFmtId="0" fontId="18" fillId="0" borderId="0" xfId="7" applyFont="1"/>
    <xf numFmtId="0" fontId="17" fillId="0" borderId="0" xfId="7" applyFont="1" applyAlignment="1">
      <alignment vertical="center"/>
    </xf>
    <xf numFmtId="0" fontId="17" fillId="0" borderId="0" xfId="7" applyFont="1" applyAlignment="1">
      <alignment horizontal="center"/>
    </xf>
    <xf numFmtId="0" fontId="28" fillId="0" borderId="0" xfId="7" applyFont="1"/>
    <xf numFmtId="0" fontId="15" fillId="0" borderId="0" xfId="7" applyFont="1" applyAlignment="1">
      <alignment vertical="center"/>
    </xf>
    <xf numFmtId="0" fontId="8" fillId="0" borderId="20" xfId="7" applyFont="1" applyBorder="1"/>
    <xf numFmtId="0" fontId="30" fillId="5" borderId="0" xfId="7" applyFont="1" applyFill="1"/>
    <xf numFmtId="0" fontId="2" fillId="4" borderId="12" xfId="7" applyFont="1" applyFill="1" applyBorder="1" applyAlignment="1">
      <alignment horizontal="center" vertical="center"/>
    </xf>
    <xf numFmtId="0" fontId="2" fillId="4" borderId="22" xfId="7" applyFont="1" applyFill="1" applyBorder="1" applyAlignment="1">
      <alignment horizontal="center" vertical="center"/>
    </xf>
    <xf numFmtId="0" fontId="8" fillId="0" borderId="3" xfId="7" applyFont="1" applyBorder="1" applyAlignment="1">
      <alignment horizontal="left" vertical="top"/>
    </xf>
    <xf numFmtId="0" fontId="8" fillId="2" borderId="3" xfId="7" applyFont="1" applyFill="1" applyBorder="1" applyAlignment="1">
      <alignment vertical="top"/>
    </xf>
    <xf numFmtId="0" fontId="9" fillId="0" borderId="0" xfId="7" applyFont="1" applyAlignment="1">
      <alignment vertical="top"/>
    </xf>
    <xf numFmtId="0" fontId="10" fillId="0" borderId="0" xfId="7" applyFont="1" applyAlignment="1">
      <alignment vertical="top"/>
    </xf>
    <xf numFmtId="0" fontId="8" fillId="0" borderId="20" xfId="7" applyFont="1" applyBorder="1" applyAlignment="1">
      <alignment vertical="top"/>
    </xf>
    <xf numFmtId="0" fontId="12" fillId="0" borderId="0" xfId="7" applyFont="1" applyAlignment="1">
      <alignment horizontal="center" vertical="top"/>
    </xf>
    <xf numFmtId="0" fontId="2" fillId="0" borderId="11" xfId="7" applyFont="1" applyBorder="1" applyAlignment="1">
      <alignment horizontal="center"/>
    </xf>
    <xf numFmtId="0" fontId="29" fillId="0" borderId="14" xfId="7" applyFont="1" applyBorder="1" applyAlignment="1">
      <alignment horizontal="center"/>
    </xf>
    <xf numFmtId="0" fontId="2" fillId="0" borderId="11" xfId="7" applyFont="1" applyBorder="1"/>
    <xf numFmtId="0" fontId="8" fillId="0" borderId="0" xfId="7" applyFont="1" applyAlignment="1">
      <alignment horizontal="center" vertical="top"/>
    </xf>
    <xf numFmtId="0" fontId="33" fillId="0" borderId="3" xfId="7" applyFont="1" applyBorder="1" applyAlignment="1">
      <alignment horizontal="left" vertical="top"/>
    </xf>
    <xf numFmtId="0" fontId="9" fillId="0" borderId="3" xfId="7" applyFont="1" applyBorder="1" applyAlignment="1">
      <alignment horizontal="left" vertical="top"/>
    </xf>
    <xf numFmtId="0" fontId="10" fillId="0" borderId="0" xfId="7" applyFont="1" applyAlignment="1">
      <alignment horizontal="center" vertical="top"/>
    </xf>
    <xf numFmtId="0" fontId="9" fillId="0" borderId="0" xfId="7" applyFont="1"/>
    <xf numFmtId="0" fontId="10" fillId="0" borderId="0" xfId="7" applyFont="1" applyAlignment="1">
      <alignment horizontal="center"/>
    </xf>
    <xf numFmtId="0" fontId="2" fillId="5" borderId="0" xfId="7" applyFont="1" applyFill="1"/>
    <xf numFmtId="0" fontId="2" fillId="0" borderId="0" xfId="7" applyFont="1" applyAlignment="1">
      <alignment horizontal="left"/>
    </xf>
    <xf numFmtId="0" fontId="24" fillId="0" borderId="0" xfId="7" applyFont="1" applyAlignment="1">
      <alignment horizontal="center" vertical="top"/>
    </xf>
    <xf numFmtId="4" fontId="11" fillId="0" borderId="38" xfId="4" applyNumberFormat="1" applyFont="1" applyBorder="1" applyAlignment="1">
      <alignment horizontal="center" vertical="center"/>
    </xf>
    <xf numFmtId="0" fontId="9" fillId="0" borderId="20" xfId="7" applyFont="1" applyBorder="1" applyAlignment="1">
      <alignment vertical="top"/>
    </xf>
    <xf numFmtId="0" fontId="9" fillId="0" borderId="20" xfId="7" applyFont="1" applyBorder="1"/>
    <xf numFmtId="0" fontId="34" fillId="0" borderId="0" xfId="7" applyFont="1"/>
    <xf numFmtId="0" fontId="33" fillId="0" borderId="0" xfId="7" applyFont="1" applyAlignment="1">
      <alignment vertical="top"/>
    </xf>
    <xf numFmtId="0" fontId="2" fillId="4" borderId="5" xfId="7" applyFont="1" applyFill="1" applyBorder="1" applyAlignment="1">
      <alignment horizontal="center" vertical="center"/>
    </xf>
    <xf numFmtId="0" fontId="2" fillId="4" borderId="0" xfId="7" applyFont="1" applyFill="1" applyAlignment="1">
      <alignment vertical="center"/>
    </xf>
    <xf numFmtId="0" fontId="2" fillId="4" borderId="0" xfId="7" applyFont="1" applyFill="1" applyAlignment="1">
      <alignment horizontal="center" vertical="center"/>
    </xf>
    <xf numFmtId="0" fontId="2" fillId="4" borderId="6" xfId="7" applyFont="1" applyFill="1" applyBorder="1" applyAlignment="1">
      <alignment horizontal="center" vertical="center"/>
    </xf>
    <xf numFmtId="0" fontId="33" fillId="0" borderId="0" xfId="7" applyFont="1" applyAlignment="1">
      <alignment horizontal="left" vertical="top"/>
    </xf>
    <xf numFmtId="0" fontId="33" fillId="0" borderId="20" xfId="7" applyFont="1" applyBorder="1" applyAlignment="1">
      <alignment horizontal="left" vertical="top"/>
    </xf>
    <xf numFmtId="0" fontId="18" fillId="2" borderId="0" xfId="7" applyFont="1" applyFill="1"/>
    <xf numFmtId="0" fontId="17" fillId="0" borderId="0" xfId="0" applyFont="1"/>
    <xf numFmtId="0" fontId="27" fillId="0" borderId="0" xfId="7" applyFont="1" applyAlignment="1">
      <alignment horizontal="left"/>
    </xf>
    <xf numFmtId="0" fontId="17" fillId="0" borderId="0" xfId="7" applyFont="1" applyAlignment="1">
      <alignment horizontal="right"/>
    </xf>
    <xf numFmtId="0" fontId="17" fillId="0" borderId="27" xfId="7" applyFont="1" applyBorder="1"/>
    <xf numFmtId="0" fontId="17" fillId="0" borderId="27" xfId="7" applyFont="1" applyBorder="1" applyAlignment="1">
      <alignment horizontal="left"/>
    </xf>
    <xf numFmtId="0" fontId="18" fillId="0" borderId="27" xfId="7" applyFont="1" applyBorder="1"/>
    <xf numFmtId="0" fontId="18" fillId="0" borderId="27" xfId="7" applyFont="1" applyBorder="1" applyAlignment="1">
      <alignment horizontal="center"/>
    </xf>
    <xf numFmtId="0" fontId="18" fillId="0" borderId="0" xfId="7" applyFont="1" applyAlignment="1">
      <alignment horizontal="center"/>
    </xf>
    <xf numFmtId="0" fontId="17" fillId="0" borderId="0" xfId="7" applyFont="1" applyAlignment="1">
      <alignment vertical="top"/>
    </xf>
    <xf numFmtId="0" fontId="17" fillId="0" borderId="0" xfId="0" applyFont="1" applyAlignment="1">
      <alignment vertical="top"/>
    </xf>
    <xf numFmtId="0" fontId="38" fillId="0" borderId="0" xfId="7" applyFont="1"/>
    <xf numFmtId="0" fontId="32" fillId="6" borderId="12" xfId="7" applyFont="1" applyFill="1" applyBorder="1" applyAlignment="1">
      <alignment horizontal="center" vertical="center"/>
    </xf>
    <xf numFmtId="0" fontId="32" fillId="6" borderId="30" xfId="7" applyFont="1" applyFill="1" applyBorder="1" applyAlignment="1">
      <alignment horizontal="center" vertical="center"/>
    </xf>
    <xf numFmtId="0" fontId="32" fillId="6" borderId="4" xfId="7" applyFont="1" applyFill="1" applyBorder="1" applyAlignment="1">
      <alignment horizontal="center" vertical="center"/>
    </xf>
    <xf numFmtId="0" fontId="32" fillId="6" borderId="6" xfId="7" applyFont="1" applyFill="1" applyBorder="1" applyAlignment="1">
      <alignment horizontal="center"/>
    </xf>
    <xf numFmtId="0" fontId="32" fillId="6" borderId="12" xfId="7" applyFont="1" applyFill="1" applyBorder="1" applyAlignment="1">
      <alignment horizontal="center"/>
    </xf>
    <xf numFmtId="0" fontId="32" fillId="6" borderId="30" xfId="7" applyFont="1" applyFill="1" applyBorder="1" applyAlignment="1">
      <alignment horizontal="center"/>
    </xf>
    <xf numFmtId="0" fontId="32" fillId="6" borderId="7" xfId="7" applyFont="1" applyFill="1" applyBorder="1" applyAlignment="1">
      <alignment horizontal="center"/>
    </xf>
    <xf numFmtId="0" fontId="18" fillId="0" borderId="12" xfId="7" applyFont="1" applyBorder="1" applyAlignment="1">
      <alignment vertical="center"/>
    </xf>
    <xf numFmtId="0" fontId="18" fillId="0" borderId="30" xfId="7" applyFont="1" applyBorder="1" applyAlignment="1">
      <alignment vertical="center"/>
    </xf>
    <xf numFmtId="0" fontId="38" fillId="0" borderId="0" xfId="7" applyFont="1" applyAlignment="1">
      <alignment vertical="center"/>
    </xf>
    <xf numFmtId="0" fontId="19" fillId="0" borderId="16" xfId="7" applyFont="1" applyBorder="1" applyAlignment="1">
      <alignment horizontal="left" vertical="center"/>
    </xf>
    <xf numFmtId="0" fontId="18" fillId="0" borderId="16" xfId="7" applyFont="1" applyBorder="1" applyAlignment="1">
      <alignment horizontal="left"/>
    </xf>
    <xf numFmtId="0" fontId="17" fillId="0" borderId="28" xfId="7" applyFont="1" applyBorder="1"/>
    <xf numFmtId="0" fontId="17" fillId="0" borderId="29" xfId="7" applyFont="1" applyBorder="1"/>
    <xf numFmtId="0" fontId="17" fillId="0" borderId="12" xfId="7" applyFont="1" applyBorder="1"/>
    <xf numFmtId="0" fontId="39" fillId="0" borderId="30" xfId="7" applyFont="1" applyBorder="1" applyAlignment="1">
      <alignment vertical="center"/>
    </xf>
    <xf numFmtId="0" fontId="18" fillId="0" borderId="12" xfId="7" applyFont="1" applyBorder="1"/>
    <xf numFmtId="0" fontId="18" fillId="0" borderId="30" xfId="7" applyFont="1" applyBorder="1"/>
    <xf numFmtId="0" fontId="17" fillId="0" borderId="12" xfId="7" applyFont="1" applyBorder="1" applyAlignment="1">
      <alignment vertical="top"/>
    </xf>
    <xf numFmtId="0" fontId="16" fillId="0" borderId="40" xfId="7" applyFont="1" applyBorder="1"/>
    <xf numFmtId="3" fontId="40" fillId="2" borderId="15" xfId="7" applyNumberFormat="1" applyFont="1" applyFill="1" applyBorder="1" applyAlignment="1">
      <alignment horizontal="center" vertical="center"/>
    </xf>
    <xf numFmtId="4" fontId="40" fillId="2" borderId="16" xfId="7" applyNumberFormat="1" applyFont="1" applyFill="1" applyBorder="1" applyAlignment="1">
      <alignment horizontal="right" vertical="center"/>
    </xf>
    <xf numFmtId="4" fontId="40" fillId="2" borderId="16" xfId="7" applyNumberFormat="1" applyFont="1" applyFill="1" applyBorder="1" applyAlignment="1">
      <alignment vertical="center"/>
    </xf>
    <xf numFmtId="0" fontId="41" fillId="2" borderId="16" xfId="7" applyFont="1" applyFill="1" applyBorder="1" applyAlignment="1">
      <alignment horizontal="center" vertical="center"/>
    </xf>
    <xf numFmtId="0" fontId="41" fillId="2" borderId="28" xfId="7" applyFont="1" applyFill="1" applyBorder="1" applyAlignment="1">
      <alignment horizontal="center" vertical="center"/>
    </xf>
    <xf numFmtId="4" fontId="44" fillId="6" borderId="41" xfId="4" applyNumberFormat="1" applyFont="1" applyFill="1" applyBorder="1" applyAlignment="1">
      <alignment vertical="center"/>
    </xf>
    <xf numFmtId="0" fontId="41" fillId="0" borderId="0" xfId="0" applyFont="1"/>
    <xf numFmtId="0" fontId="40" fillId="0" borderId="0" xfId="0" applyFont="1" applyAlignment="1">
      <alignment vertical="center"/>
    </xf>
    <xf numFmtId="0" fontId="41" fillId="0" borderId="0" xfId="0" applyFont="1" applyAlignment="1">
      <alignment horizontal="left"/>
    </xf>
    <xf numFmtId="0" fontId="43" fillId="0" borderId="0" xfId="0" applyFont="1" applyAlignment="1">
      <alignment horizontal="left" vertical="top"/>
    </xf>
    <xf numFmtId="0" fontId="43" fillId="0" borderId="0" xfId="0" applyFont="1" applyAlignment="1">
      <alignment horizontal="left"/>
    </xf>
    <xf numFmtId="0" fontId="17" fillId="0" borderId="0" xfId="7" applyFont="1" applyAlignment="1">
      <alignment horizontal="center" vertical="center"/>
    </xf>
    <xf numFmtId="0" fontId="17" fillId="0" borderId="30" xfId="7" applyFont="1" applyBorder="1" applyAlignment="1">
      <alignment vertical="top"/>
    </xf>
    <xf numFmtId="0" fontId="18" fillId="2" borderId="12" xfId="7" applyFont="1" applyFill="1" applyBorder="1"/>
    <xf numFmtId="0" fontId="42" fillId="2" borderId="0" xfId="7" applyFont="1" applyFill="1" applyAlignment="1">
      <alignment horizontal="center" vertical="center"/>
    </xf>
    <xf numFmtId="4" fontId="42" fillId="2" borderId="0" xfId="7" applyNumberFormat="1" applyFont="1" applyFill="1" applyAlignment="1">
      <alignment horizontal="center" vertical="center"/>
    </xf>
    <xf numFmtId="4" fontId="44" fillId="2" borderId="0" xfId="4" applyNumberFormat="1" applyFont="1" applyFill="1" applyBorder="1" applyAlignment="1">
      <alignment vertical="center"/>
    </xf>
    <xf numFmtId="0" fontId="18" fillId="2" borderId="30" xfId="7" applyFont="1" applyFill="1" applyBorder="1"/>
    <xf numFmtId="0" fontId="38" fillId="2" borderId="0" xfId="7" applyFont="1" applyFill="1"/>
    <xf numFmtId="0" fontId="18" fillId="0" borderId="0" xfId="7" applyFont="1" applyAlignment="1">
      <alignment horizontal="left" vertical="top"/>
    </xf>
    <xf numFmtId="0" fontId="16" fillId="0" borderId="0" xfId="7" applyFont="1"/>
    <xf numFmtId="0" fontId="16" fillId="0" borderId="39" xfId="7" applyFont="1" applyBorder="1"/>
    <xf numFmtId="0" fontId="18" fillId="0" borderId="0" xfId="7" applyFont="1" applyAlignment="1">
      <alignment horizontal="left" vertical="center"/>
    </xf>
    <xf numFmtId="0" fontId="17" fillId="0" borderId="0" xfId="7" applyFont="1" applyAlignment="1">
      <alignment horizontal="left" vertical="top"/>
    </xf>
    <xf numFmtId="0" fontId="0" fillId="8" borderId="42" xfId="0" applyFill="1" applyBorder="1"/>
    <xf numFmtId="3" fontId="0" fillId="0" borderId="0" xfId="0" applyNumberFormat="1"/>
    <xf numFmtId="0" fontId="0" fillId="0" borderId="0" xfId="0" applyAlignment="1">
      <alignment horizontal="left"/>
    </xf>
    <xf numFmtId="0" fontId="0" fillId="8" borderId="42" xfId="0" applyFill="1" applyBorder="1" applyAlignment="1">
      <alignment vertical="center"/>
    </xf>
    <xf numFmtId="0" fontId="46" fillId="8" borderId="42" xfId="0" applyFont="1" applyFill="1" applyBorder="1" applyAlignment="1">
      <alignment wrapText="1"/>
    </xf>
    <xf numFmtId="0" fontId="0" fillId="9" borderId="42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2" xfId="0" applyBorder="1"/>
    <xf numFmtId="0" fontId="0" fillId="0" borderId="42" xfId="0" applyBorder="1" applyAlignment="1">
      <alignment horizontal="left"/>
    </xf>
    <xf numFmtId="0" fontId="47" fillId="0" borderId="42" xfId="0" applyFont="1" applyBorder="1"/>
    <xf numFmtId="0" fontId="47" fillId="0" borderId="42" xfId="0" applyFont="1" applyBorder="1" applyAlignment="1">
      <alignment vertical="center"/>
    </xf>
    <xf numFmtId="0" fontId="0" fillId="9" borderId="42" xfId="0" applyFill="1" applyBorder="1"/>
    <xf numFmtId="0" fontId="0" fillId="9" borderId="42" xfId="0" applyFill="1" applyBorder="1" applyAlignment="1">
      <alignment horizontal="center"/>
    </xf>
    <xf numFmtId="0" fontId="0" fillId="9" borderId="42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5" fillId="8" borderId="42" xfId="0" applyFont="1" applyFill="1" applyBorder="1"/>
    <xf numFmtId="0" fontId="35" fillId="0" borderId="42" xfId="0" applyFont="1" applyBorder="1"/>
    <xf numFmtId="0" fontId="29" fillId="0" borderId="3" xfId="7" applyFont="1" applyBorder="1" applyAlignment="1">
      <alignment horizontal="center" vertical="center"/>
    </xf>
    <xf numFmtId="0" fontId="29" fillId="0" borderId="0" xfId="7" applyFont="1" applyAlignment="1">
      <alignment horizontal="center" vertical="center"/>
    </xf>
    <xf numFmtId="0" fontId="29" fillId="0" borderId="20" xfId="7" applyFont="1" applyBorder="1" applyAlignment="1">
      <alignment horizontal="center" vertical="center"/>
    </xf>
    <xf numFmtId="0" fontId="22" fillId="0" borderId="17" xfId="7" applyFont="1" applyBorder="1" applyAlignment="1">
      <alignment horizontal="center" vertical="top"/>
    </xf>
    <xf numFmtId="0" fontId="22" fillId="0" borderId="18" xfId="7" applyFont="1" applyBorder="1" applyAlignment="1">
      <alignment horizontal="center" vertical="top"/>
    </xf>
    <xf numFmtId="0" fontId="22" fillId="0" borderId="25" xfId="7" applyFont="1" applyBorder="1" applyAlignment="1">
      <alignment horizontal="center" vertical="top"/>
    </xf>
    <xf numFmtId="0" fontId="30" fillId="5" borderId="0" xfId="7" applyFont="1" applyFill="1" applyAlignment="1">
      <alignment horizontal="center"/>
    </xf>
    <xf numFmtId="0" fontId="20" fillId="0" borderId="26" xfId="7" applyFont="1" applyBorder="1" applyAlignment="1">
      <alignment horizontal="center" vertical="center"/>
    </xf>
    <xf numFmtId="0" fontId="20" fillId="0" borderId="27" xfId="7" applyFont="1" applyBorder="1" applyAlignment="1">
      <alignment horizontal="center" vertical="center"/>
    </xf>
    <xf numFmtId="0" fontId="20" fillId="0" borderId="29" xfId="7" applyFont="1" applyBorder="1" applyAlignment="1">
      <alignment horizontal="center" vertical="center"/>
    </xf>
    <xf numFmtId="0" fontId="20" fillId="0" borderId="34" xfId="7" applyFont="1" applyBorder="1" applyAlignment="1">
      <alignment horizontal="center" vertical="center"/>
    </xf>
    <xf numFmtId="0" fontId="20" fillId="0" borderId="35" xfId="7" applyFont="1" applyBorder="1" applyAlignment="1">
      <alignment horizontal="center" vertical="center"/>
    </xf>
    <xf numFmtId="0" fontId="20" fillId="0" borderId="36" xfId="7" applyFont="1" applyBorder="1" applyAlignment="1">
      <alignment horizontal="center" vertical="center"/>
    </xf>
    <xf numFmtId="4" fontId="4" fillId="2" borderId="14" xfId="7" applyNumberFormat="1" applyFont="1" applyFill="1" applyBorder="1" applyAlignment="1">
      <alignment horizontal="center" vertical="center"/>
    </xf>
    <xf numFmtId="4" fontId="4" fillId="2" borderId="15" xfId="7" applyNumberFormat="1" applyFont="1" applyFill="1" applyBorder="1" applyAlignment="1">
      <alignment horizontal="center" vertical="center"/>
    </xf>
    <xf numFmtId="4" fontId="21" fillId="0" borderId="37" xfId="7" applyNumberFormat="1" applyFont="1" applyBorder="1" applyAlignment="1">
      <alignment horizontal="center" vertical="center"/>
    </xf>
    <xf numFmtId="4" fontId="21" fillId="0" borderId="36" xfId="7" applyNumberFormat="1" applyFont="1" applyBorder="1" applyAlignment="1">
      <alignment horizontal="center" vertical="center"/>
    </xf>
    <xf numFmtId="0" fontId="33" fillId="0" borderId="3" xfId="7" applyFont="1" applyBorder="1" applyAlignment="1">
      <alignment horizontal="left" vertical="top"/>
    </xf>
    <xf numFmtId="0" fontId="33" fillId="0" borderId="0" xfId="7" applyFont="1" applyAlignment="1">
      <alignment horizontal="left" vertical="top"/>
    </xf>
    <xf numFmtId="0" fontId="33" fillId="0" borderId="20" xfId="7" applyFont="1" applyBorder="1" applyAlignment="1">
      <alignment horizontal="left" vertical="top"/>
    </xf>
    <xf numFmtId="0" fontId="2" fillId="0" borderId="9" xfId="7" applyFont="1" applyBorder="1" applyAlignment="1">
      <alignment horizontal="center"/>
    </xf>
    <xf numFmtId="0" fontId="2" fillId="0" borderId="15" xfId="7" applyFont="1" applyBorder="1" applyAlignment="1">
      <alignment horizontal="center"/>
    </xf>
    <xf numFmtId="0" fontId="2" fillId="0" borderId="9" xfId="7" applyFont="1" applyBorder="1" applyAlignment="1">
      <alignment horizontal="center" vertical="center"/>
    </xf>
    <xf numFmtId="0" fontId="2" fillId="0" borderId="21" xfId="7" applyFont="1" applyBorder="1" applyAlignment="1">
      <alignment horizontal="center" vertical="center"/>
    </xf>
    <xf numFmtId="0" fontId="2" fillId="3" borderId="11" xfId="7" applyFont="1" applyFill="1" applyBorder="1" applyAlignment="1">
      <alignment horizontal="center" vertical="center"/>
    </xf>
    <xf numFmtId="0" fontId="2" fillId="3" borderId="9" xfId="7" applyFont="1" applyFill="1" applyBorder="1" applyAlignment="1">
      <alignment horizontal="center" vertical="center"/>
    </xf>
    <xf numFmtId="0" fontId="2" fillId="3" borderId="21" xfId="7" applyFont="1" applyFill="1" applyBorder="1" applyAlignment="1">
      <alignment horizontal="center" vertical="center"/>
    </xf>
    <xf numFmtId="0" fontId="4" fillId="0" borderId="11" xfId="7" applyFont="1" applyBorder="1" applyAlignment="1">
      <alignment horizontal="center" vertical="center"/>
    </xf>
    <xf numFmtId="0" fontId="4" fillId="0" borderId="9" xfId="7" applyFont="1" applyBorder="1" applyAlignment="1">
      <alignment horizontal="center" vertical="center"/>
    </xf>
    <xf numFmtId="0" fontId="4" fillId="0" borderId="21" xfId="7" applyFont="1" applyBorder="1" applyAlignment="1">
      <alignment horizontal="center" vertical="center"/>
    </xf>
    <xf numFmtId="0" fontId="6" fillId="0" borderId="14" xfId="7" applyFont="1" applyBorder="1" applyAlignment="1">
      <alignment horizontal="left" vertical="center"/>
    </xf>
    <xf numFmtId="0" fontId="6" fillId="0" borderId="9" xfId="7" applyFont="1" applyBorder="1" applyAlignment="1">
      <alignment horizontal="left" vertical="center"/>
    </xf>
    <xf numFmtId="0" fontId="6" fillId="0" borderId="15" xfId="7" applyFont="1" applyBorder="1" applyAlignment="1">
      <alignment horizontal="left" vertical="center"/>
    </xf>
    <xf numFmtId="0" fontId="14" fillId="0" borderId="9" xfId="7" applyFont="1" applyBorder="1" applyAlignment="1">
      <alignment horizontal="center" vertical="center"/>
    </xf>
    <xf numFmtId="0" fontId="14" fillId="0" borderId="21" xfId="7" applyFont="1" applyBorder="1" applyAlignment="1">
      <alignment horizontal="center" vertical="center"/>
    </xf>
    <xf numFmtId="187" fontId="11" fillId="0" borderId="9" xfId="7" applyNumberFormat="1" applyFont="1" applyBorder="1" applyAlignment="1">
      <alignment horizontal="center" vertical="center"/>
    </xf>
    <xf numFmtId="187" fontId="11" fillId="0" borderId="21" xfId="7" applyNumberFormat="1" applyFont="1" applyBorder="1" applyAlignment="1">
      <alignment horizontal="center" vertical="center"/>
    </xf>
    <xf numFmtId="15" fontId="2" fillId="0" borderId="9" xfId="7" applyNumberFormat="1" applyFont="1" applyBorder="1" applyAlignment="1">
      <alignment horizontal="center" vertical="center"/>
    </xf>
    <xf numFmtId="15" fontId="2" fillId="0" borderId="21" xfId="7" applyNumberFormat="1" applyFont="1" applyBorder="1" applyAlignment="1">
      <alignment horizontal="center" vertical="center"/>
    </xf>
    <xf numFmtId="0" fontId="29" fillId="0" borderId="3" xfId="7" applyFont="1" applyBorder="1" applyAlignment="1">
      <alignment horizontal="center"/>
    </xf>
    <xf numFmtId="0" fontId="29" fillId="0" borderId="0" xfId="7" applyFont="1" applyAlignment="1">
      <alignment horizontal="center"/>
    </xf>
    <xf numFmtId="0" fontId="29" fillId="0" borderId="20" xfId="7" applyFont="1" applyBorder="1" applyAlignment="1">
      <alignment horizontal="center"/>
    </xf>
    <xf numFmtId="0" fontId="31" fillId="0" borderId="26" xfId="7" applyFont="1" applyBorder="1" applyAlignment="1">
      <alignment horizontal="center" vertical="center"/>
    </xf>
    <xf numFmtId="0" fontId="31" fillId="0" borderId="27" xfId="7" applyFont="1" applyBorder="1" applyAlignment="1">
      <alignment horizontal="center" vertical="center"/>
    </xf>
    <xf numFmtId="0" fontId="31" fillId="0" borderId="29" xfId="7" applyFont="1" applyBorder="1" applyAlignment="1">
      <alignment horizontal="center" vertical="center"/>
    </xf>
    <xf numFmtId="0" fontId="31" fillId="0" borderId="34" xfId="7" applyFont="1" applyBorder="1" applyAlignment="1">
      <alignment horizontal="center" vertical="center"/>
    </xf>
    <xf numFmtId="0" fontId="31" fillId="0" borderId="35" xfId="7" applyFont="1" applyBorder="1" applyAlignment="1">
      <alignment horizontal="center" vertical="center"/>
    </xf>
    <xf numFmtId="0" fontId="31" fillId="0" borderId="36" xfId="7" applyFont="1" applyBorder="1" applyAlignment="1">
      <alignment horizontal="center" vertical="center"/>
    </xf>
    <xf numFmtId="4" fontId="6" fillId="0" borderId="37" xfId="7" applyNumberFormat="1" applyFont="1" applyBorder="1" applyAlignment="1">
      <alignment horizontal="center" vertical="center"/>
    </xf>
    <xf numFmtId="4" fontId="6" fillId="0" borderId="36" xfId="7" applyNumberFormat="1" applyFont="1" applyBorder="1" applyAlignment="1">
      <alignment horizontal="center" vertical="center"/>
    </xf>
    <xf numFmtId="0" fontId="8" fillId="0" borderId="3" xfId="7" applyFont="1" applyBorder="1" applyAlignment="1">
      <alignment horizontal="left" vertical="top"/>
    </xf>
    <xf numFmtId="0" fontId="8" fillId="0" borderId="0" xfId="7" applyFont="1" applyAlignment="1">
      <alignment horizontal="left" vertical="top"/>
    </xf>
    <xf numFmtId="0" fontId="8" fillId="0" borderId="20" xfId="7" applyFont="1" applyBorder="1" applyAlignment="1">
      <alignment horizontal="left" vertical="top"/>
    </xf>
    <xf numFmtId="0" fontId="2" fillId="0" borderId="9" xfId="7" applyFont="1" applyBorder="1" applyAlignment="1">
      <alignment horizontal="left"/>
    </xf>
    <xf numFmtId="0" fontId="2" fillId="0" borderId="15" xfId="7" applyFont="1" applyBorder="1" applyAlignment="1">
      <alignment horizontal="left"/>
    </xf>
    <xf numFmtId="0" fontId="2" fillId="0" borderId="9" xfId="7" quotePrefix="1" applyFont="1" applyBorder="1" applyAlignment="1">
      <alignment horizontal="center" vertical="center"/>
    </xf>
    <xf numFmtId="0" fontId="17" fillId="0" borderId="12" xfId="7" applyFont="1" applyBorder="1" applyAlignment="1">
      <alignment horizontal="center" vertical="center" wrapText="1"/>
    </xf>
    <xf numFmtId="0" fontId="17" fillId="0" borderId="0" xfId="7" applyFont="1" applyAlignment="1">
      <alignment horizontal="center" vertical="center"/>
    </xf>
    <xf numFmtId="0" fontId="17" fillId="0" borderId="30" xfId="7" applyFont="1" applyBorder="1" applyAlignment="1">
      <alignment horizontal="center" vertical="center"/>
    </xf>
    <xf numFmtId="0" fontId="17" fillId="0" borderId="0" xfId="7" applyFont="1" applyAlignment="1">
      <alignment horizontal="center" vertical="center" wrapText="1"/>
    </xf>
    <xf numFmtId="0" fontId="16" fillId="0" borderId="10" xfId="7" applyFont="1" applyBorder="1" applyAlignment="1">
      <alignment horizontal="center" vertical="top"/>
    </xf>
    <xf numFmtId="0" fontId="40" fillId="0" borderId="14" xfId="7" applyFont="1" applyBorder="1" applyAlignment="1">
      <alignment horizontal="left" vertical="center" wrapText="1"/>
    </xf>
    <xf numFmtId="0" fontId="40" fillId="0" borderId="9" xfId="7" applyFont="1" applyBorder="1" applyAlignment="1">
      <alignment horizontal="left" vertical="center" wrapText="1"/>
    </xf>
    <xf numFmtId="0" fontId="40" fillId="0" borderId="15" xfId="7" applyFont="1" applyBorder="1" applyAlignment="1">
      <alignment horizontal="left" vertical="center" wrapText="1"/>
    </xf>
    <xf numFmtId="0" fontId="40" fillId="0" borderId="16" xfId="7" applyFont="1" applyBorder="1" applyAlignment="1">
      <alignment horizontal="left" vertical="center" wrapText="1"/>
    </xf>
    <xf numFmtId="0" fontId="42" fillId="0" borderId="32" xfId="7" applyFont="1" applyBorder="1" applyAlignment="1">
      <alignment horizontal="center" vertical="center"/>
    </xf>
    <xf numFmtId="0" fontId="42" fillId="0" borderId="31" xfId="7" applyFont="1" applyBorder="1" applyAlignment="1">
      <alignment horizontal="center" vertical="center"/>
    </xf>
    <xf numFmtId="4" fontId="42" fillId="6" borderId="32" xfId="7" applyNumberFormat="1" applyFont="1" applyFill="1" applyBorder="1" applyAlignment="1">
      <alignment horizontal="center" vertical="center"/>
    </xf>
    <xf numFmtId="4" fontId="42" fillId="6" borderId="33" xfId="7" applyNumberFormat="1" applyFont="1" applyFill="1" applyBorder="1" applyAlignment="1">
      <alignment horizontal="center" vertical="center"/>
    </xf>
    <xf numFmtId="0" fontId="32" fillId="6" borderId="12" xfId="7" applyFont="1" applyFill="1" applyBorder="1" applyAlignment="1">
      <alignment horizontal="center"/>
    </xf>
    <xf numFmtId="0" fontId="32" fillId="6" borderId="0" xfId="7" applyFont="1" applyFill="1" applyAlignment="1">
      <alignment horizontal="center"/>
    </xf>
    <xf numFmtId="0" fontId="32" fillId="6" borderId="30" xfId="7" applyFont="1" applyFill="1" applyBorder="1" applyAlignment="1">
      <alignment horizontal="center"/>
    </xf>
    <xf numFmtId="0" fontId="26" fillId="0" borderId="16" xfId="7" applyFont="1" applyBorder="1" applyAlignment="1">
      <alignment horizontal="left" vertical="center"/>
    </xf>
    <xf numFmtId="0" fontId="26" fillId="0" borderId="16" xfId="7" applyFont="1" applyBorder="1" applyAlignment="1">
      <alignment horizontal="center" vertical="center"/>
    </xf>
    <xf numFmtId="0" fontId="26" fillId="0" borderId="16" xfId="7" applyFont="1" applyBorder="1" applyAlignment="1">
      <alignment horizontal="left" vertical="center" wrapText="1"/>
    </xf>
    <xf numFmtId="187" fontId="26" fillId="0" borderId="16" xfId="7" applyNumberFormat="1" applyFont="1" applyBorder="1" applyAlignment="1">
      <alignment horizontal="center" vertical="center"/>
    </xf>
    <xf numFmtId="0" fontId="45" fillId="7" borderId="28" xfId="7" applyFont="1" applyFill="1" applyBorder="1" applyAlignment="1">
      <alignment horizontal="center" vertical="center" wrapText="1"/>
    </xf>
    <xf numFmtId="0" fontId="45" fillId="7" borderId="27" xfId="7" applyFont="1" applyFill="1" applyBorder="1" applyAlignment="1">
      <alignment horizontal="center" vertical="center"/>
    </xf>
    <xf numFmtId="0" fontId="45" fillId="7" borderId="29" xfId="7" applyFont="1" applyFill="1" applyBorder="1" applyAlignment="1">
      <alignment horizontal="center" vertical="center"/>
    </xf>
    <xf numFmtId="0" fontId="16" fillId="2" borderId="14" xfId="7" applyFont="1" applyFill="1" applyBorder="1" applyAlignment="1">
      <alignment horizontal="center" vertical="center"/>
    </xf>
    <xf numFmtId="0" fontId="16" fillId="2" borderId="9" xfId="7" applyFont="1" applyFill="1" applyBorder="1" applyAlignment="1">
      <alignment horizontal="center" vertical="center"/>
    </xf>
    <xf numFmtId="0" fontId="16" fillId="2" borderId="15" xfId="7" applyFont="1" applyFill="1" applyBorder="1" applyAlignment="1">
      <alignment horizontal="center" vertical="center"/>
    </xf>
    <xf numFmtId="0" fontId="32" fillId="6" borderId="28" xfId="7" applyFont="1" applyFill="1" applyBorder="1" applyAlignment="1">
      <alignment horizontal="center" vertical="center"/>
    </xf>
    <xf numFmtId="0" fontId="32" fillId="6" borderId="27" xfId="7" applyFont="1" applyFill="1" applyBorder="1" applyAlignment="1">
      <alignment horizontal="center" vertical="center"/>
    </xf>
    <xf numFmtId="0" fontId="32" fillId="6" borderId="29" xfId="7" applyFont="1" applyFill="1" applyBorder="1" applyAlignment="1">
      <alignment horizontal="center" vertical="center"/>
    </xf>
    <xf numFmtId="0" fontId="26" fillId="0" borderId="28" xfId="7" applyFont="1" applyBorder="1" applyAlignment="1">
      <alignment horizontal="left" vertical="center" wrapText="1"/>
    </xf>
    <xf numFmtId="0" fontId="26" fillId="0" borderId="27" xfId="7" applyFont="1" applyBorder="1" applyAlignment="1">
      <alignment horizontal="left" vertical="center" wrapText="1"/>
    </xf>
    <xf numFmtId="0" fontId="26" fillId="0" borderId="29" xfId="7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 wrapText="1"/>
    </xf>
    <xf numFmtId="0" fontId="26" fillId="0" borderId="10" xfId="7" applyFont="1" applyBorder="1" applyAlignment="1">
      <alignment horizontal="left" vertical="center" wrapText="1"/>
    </xf>
    <xf numFmtId="0" fontId="26" fillId="0" borderId="40" xfId="7" applyFont="1" applyBorder="1" applyAlignment="1">
      <alignment horizontal="left" vertical="center" wrapText="1"/>
    </xf>
    <xf numFmtId="0" fontId="40" fillId="0" borderId="14" xfId="7" applyFont="1" applyBorder="1" applyAlignment="1">
      <alignment horizontal="center" vertical="center"/>
    </xf>
    <xf numFmtId="0" fontId="40" fillId="0" borderId="9" xfId="7" applyFont="1" applyBorder="1" applyAlignment="1">
      <alignment horizontal="center" vertical="center"/>
    </xf>
    <xf numFmtId="0" fontId="40" fillId="0" borderId="15" xfId="7" applyFont="1" applyBorder="1" applyAlignment="1">
      <alignment horizontal="center" vertical="center"/>
    </xf>
    <xf numFmtId="0" fontId="17" fillId="0" borderId="12" xfId="7" applyFont="1" applyBorder="1" applyAlignment="1">
      <alignment horizontal="left"/>
    </xf>
    <xf numFmtId="0" fontId="17" fillId="0" borderId="0" xfId="7" applyFont="1" applyAlignment="1">
      <alignment horizontal="left"/>
    </xf>
    <xf numFmtId="0" fontId="17" fillId="0" borderId="30" xfId="7" applyFont="1" applyBorder="1" applyAlignment="1">
      <alignment horizontal="left"/>
    </xf>
  </cellXfs>
  <cellStyles count="21">
    <cellStyle name="Comma 2" xfId="4" xr:uid="{00000000-0005-0000-0000-000034000000}"/>
    <cellStyle name="Comma 2 2" xfId="1" xr:uid="{00000000-0005-0000-0000-000014000000}"/>
    <cellStyle name="Comma 2 2 2" xfId="2" xr:uid="{00000000-0005-0000-0000-000030000000}"/>
    <cellStyle name="Comma 2 2 2 2" xfId="14" xr:uid="{E1DB7EDE-DD6E-4792-B93A-86D30440C169}"/>
    <cellStyle name="Comma 2 2 3" xfId="13" xr:uid="{CC87026D-BF2E-46F8-BCC4-C6DF02DE7138}"/>
    <cellStyle name="Comma 2 2 4" xfId="20" xr:uid="{9F1EB0FE-3CD3-44C3-B1BF-E1C0AFCF3400}"/>
    <cellStyle name="Comma 2 3" xfId="15" xr:uid="{769ACAFE-7606-471A-9EEE-90AD88441DC1}"/>
    <cellStyle name="Comma 2 4" xfId="19" xr:uid="{7AB0CBF7-CC88-4010-9391-F2A032D20C8F}"/>
    <cellStyle name="Comma 3" xfId="5" xr:uid="{00000000-0005-0000-0000-000035000000}"/>
    <cellStyle name="Comma 3 2" xfId="16" xr:uid="{22EE36F6-80AB-4EE8-B549-68CD4C39B195}"/>
    <cellStyle name="Normal" xfId="0" builtinId="0"/>
    <cellStyle name="Normal 2" xfId="7" xr:uid="{00000000-0005-0000-0000-000037000000}"/>
    <cellStyle name="Normal 2 2" xfId="3" xr:uid="{00000000-0005-0000-0000-000032000000}"/>
    <cellStyle name="Normal 2 2 2" xfId="8" xr:uid="{00000000-0005-0000-0000-000038000000}"/>
    <cellStyle name="Normal 2 2 2 2" xfId="18" xr:uid="{4F5A8250-DBEF-4A04-AEEA-C52134862874}"/>
    <cellStyle name="Normal 2 3" xfId="10" xr:uid="{A8B28FF8-A7BB-4D1D-A82F-EDFD22A593B3}"/>
    <cellStyle name="ปกติ 2" xfId="6" xr:uid="{00000000-0005-0000-0000-000036000000}"/>
    <cellStyle name="ปกติ 2 2" xfId="11" xr:uid="{C572F7F5-6C41-4476-97A4-B9E03B490387}"/>
    <cellStyle name="ปกติ 2 3" xfId="17" xr:uid="{EB8EA2B2-872F-491B-A21D-277F02EDE0A6}"/>
    <cellStyle name="ปกติ 3" xfId="9" xr:uid="{79A3D9B5-2539-4EB8-BE5B-A46078A043F2}"/>
    <cellStyle name="ปกติ 4" xfId="12" xr:uid="{A12CF561-AFCA-4A30-A25B-C2BA1066FAB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3FDC7"/>
      <color rgb="FF3CFE22"/>
      <color rgb="FFFAACEF"/>
      <color rgb="FF0000FF"/>
      <color rgb="FFDF0DC1"/>
      <color rgb="FFB5F4AC"/>
      <color rgb="FF00FF00"/>
      <color rgb="FFF77DE6"/>
      <color rgb="FFF4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4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1841042</xdr:colOff>
      <xdr:row>36</xdr:row>
      <xdr:rowOff>7620</xdr:rowOff>
    </xdr:from>
    <xdr:to>
      <xdr:col>6</xdr:col>
      <xdr:colOff>299501</xdr:colOff>
      <xdr:row>36</xdr:row>
      <xdr:rowOff>1211579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3503930" y="9411970"/>
          <a:ext cx="1619250" cy="12033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 ฝ่ายการตลาด/ผู้เสนอขาย 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491581</xdr:colOff>
      <xdr:row>36</xdr:row>
      <xdr:rowOff>23558</xdr:rowOff>
    </xdr:from>
    <xdr:to>
      <xdr:col>3</xdr:col>
      <xdr:colOff>1414924</xdr:colOff>
      <xdr:row>36</xdr:row>
      <xdr:rowOff>1203960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91490" y="9427845"/>
          <a:ext cx="2586355" cy="118046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 eaLnBrk="1" fontAlgn="auto" latinLnBrk="0" hangingPunct="1"/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                  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ctr" eaLnBrk="1" fontAlgn="auto" latinLnBrk="0" hangingPunct="1"/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(..............................................................................)</a:t>
          </a:r>
          <a:b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ลูกค้าคนสำคัญ</a:t>
          </a:r>
          <a:r>
            <a:rPr lang="th-TH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ลงนาม/ประทับตรา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398880</xdr:colOff>
      <xdr:row>36</xdr:row>
      <xdr:rowOff>7620</xdr:rowOff>
    </xdr:from>
    <xdr:to>
      <xdr:col>8</xdr:col>
      <xdr:colOff>759082</xdr:colOff>
      <xdr:row>36</xdr:row>
      <xdr:rowOff>1211579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5222875" y="9411970"/>
          <a:ext cx="2075180" cy="12033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</a:t>
          </a: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(นางสาวเศรษฐภรณ์  คำชั่ง )</a:t>
          </a:r>
        </a:p>
        <a:p>
          <a:pPr algn="ctr" eaLnBrk="1" fontAlgn="auto" latinLnBrk="0" hangingPunct="1"/>
          <a:r>
            <a:rPr lang="th-TH" sz="1400" b="1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ผู้จัดการฝ่ายการตลาด</a:t>
          </a:r>
          <a:endParaRPr lang="th-TH" sz="18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57150</xdr:rowOff>
    </xdr:from>
    <xdr:to>
      <xdr:col>8</xdr:col>
      <xdr:colOff>1219201</xdr:colOff>
      <xdr:row>1</xdr:row>
      <xdr:rowOff>909376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150"/>
          <a:ext cx="7558405" cy="1166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57150</xdr:rowOff>
    </xdr:from>
    <xdr:to>
      <xdr:col>9</xdr:col>
      <xdr:colOff>19050</xdr:colOff>
      <xdr:row>39</xdr:row>
      <xdr:rowOff>105982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33100"/>
          <a:ext cx="7995285" cy="758190"/>
        </a:xfrm>
        <a:prstGeom prst="rect">
          <a:avLst/>
        </a:prstGeom>
      </xdr:spPr>
    </xdr:pic>
    <xdr:clientData/>
  </xdr:twoCellAnchor>
  <xdr:twoCellAnchor editAs="oneCell">
    <xdr:from>
      <xdr:col>7</xdr:col>
      <xdr:colOff>118845</xdr:colOff>
      <xdr:row>36</xdr:row>
      <xdr:rowOff>99004</xdr:rowOff>
    </xdr:from>
    <xdr:to>
      <xdr:col>8</xdr:col>
      <xdr:colOff>123825</xdr:colOff>
      <xdr:row>36</xdr:row>
      <xdr:rowOff>651506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044" t="12136" r="7055" b="3884"/>
        <a:stretch>
          <a:fillRect/>
        </a:stretch>
      </xdr:blipFill>
      <xdr:spPr>
        <a:xfrm>
          <a:off x="5883275" y="9502775"/>
          <a:ext cx="77978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1772462</xdr:colOff>
      <xdr:row>32</xdr:row>
      <xdr:rowOff>84667</xdr:rowOff>
    </xdr:from>
    <xdr:to>
      <xdr:col>6</xdr:col>
      <xdr:colOff>230921</xdr:colOff>
      <xdr:row>32</xdr:row>
      <xdr:rowOff>1272540</xdr:rowOff>
    </xdr:to>
    <xdr:sp macro="" textlink="">
      <xdr:nvSpPr>
        <xdr:cNvPr id="9" name="Rectangle 4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3392170" y="9105265"/>
          <a:ext cx="2089150" cy="118808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 ฝ่ายการตลาด/ผู้เสนอขาย 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453481</xdr:colOff>
      <xdr:row>32</xdr:row>
      <xdr:rowOff>76898</xdr:rowOff>
    </xdr:from>
    <xdr:to>
      <xdr:col>3</xdr:col>
      <xdr:colOff>1376824</xdr:colOff>
      <xdr:row>32</xdr:row>
      <xdr:rowOff>1249680</xdr:rowOff>
    </xdr:to>
    <xdr:sp macro="" textlink="">
      <xdr:nvSpPr>
        <xdr:cNvPr id="10" name="Rectangle 6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453390" y="9097645"/>
          <a:ext cx="2543175" cy="117284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 eaLnBrk="1" fontAlgn="auto" latinLnBrk="0" hangingPunct="1"/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             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ctr" eaLnBrk="1" fontAlgn="auto" latinLnBrk="0" hangingPunct="1"/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(..............................................................................)</a:t>
          </a:r>
          <a:b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ลูกค้าคนสำคัญ</a:t>
          </a:r>
          <a:r>
            <a:rPr lang="th-TH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ลงนาม/ประทับตรา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398880</xdr:colOff>
      <xdr:row>32</xdr:row>
      <xdr:rowOff>89959</xdr:rowOff>
    </xdr:from>
    <xdr:to>
      <xdr:col>8</xdr:col>
      <xdr:colOff>759082</xdr:colOff>
      <xdr:row>32</xdr:row>
      <xdr:rowOff>1287780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5649595" y="9110345"/>
          <a:ext cx="2110105" cy="119824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</a:t>
          </a: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(นางสาวเศรษฐภรณ์  คำชั่ง )</a:t>
          </a:r>
        </a:p>
        <a:p>
          <a:pPr algn="ctr" eaLnBrk="1" fontAlgn="auto" latinLnBrk="0" hangingPunct="1"/>
          <a:r>
            <a:rPr lang="th-TH" sz="1400" b="1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ผู้จัดการฝ่ายการตลาด</a:t>
          </a:r>
          <a:endParaRPr lang="th-TH" sz="18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 editAs="oneCell">
    <xdr:from>
      <xdr:col>0</xdr:col>
      <xdr:colOff>314325</xdr:colOff>
      <xdr:row>0</xdr:row>
      <xdr:rowOff>114300</xdr:rowOff>
    </xdr:from>
    <xdr:to>
      <xdr:col>8</xdr:col>
      <xdr:colOff>828676</xdr:colOff>
      <xdr:row>1</xdr:row>
      <xdr:rowOff>966526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14300"/>
          <a:ext cx="7515225" cy="1166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95250</xdr:rowOff>
    </xdr:from>
    <xdr:to>
      <xdr:col>9</xdr:col>
      <xdr:colOff>0</xdr:colOff>
      <xdr:row>34</xdr:row>
      <xdr:rowOff>478278</xdr:rowOff>
    </xdr:to>
    <xdr:pic>
      <xdr:nvPicPr>
        <xdr:cNvPr id="8" name="รูปภาพ 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09275"/>
          <a:ext cx="8011160" cy="756920"/>
        </a:xfrm>
        <a:prstGeom prst="rect">
          <a:avLst/>
        </a:prstGeom>
      </xdr:spPr>
    </xdr:pic>
    <xdr:clientData/>
  </xdr:twoCellAnchor>
  <xdr:twoCellAnchor editAs="oneCell">
    <xdr:from>
      <xdr:col>6</xdr:col>
      <xdr:colOff>1048485</xdr:colOff>
      <xdr:row>32</xdr:row>
      <xdr:rowOff>167901</xdr:rowOff>
    </xdr:from>
    <xdr:to>
      <xdr:col>8</xdr:col>
      <xdr:colOff>0</xdr:colOff>
      <xdr:row>32</xdr:row>
      <xdr:rowOff>716700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044" t="12136" r="7055" b="3884"/>
        <a:stretch>
          <a:fillRect/>
        </a:stretch>
      </xdr:blipFill>
      <xdr:spPr>
        <a:xfrm>
          <a:off x="6278245" y="9188450"/>
          <a:ext cx="722630" cy="54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251113</xdr:colOff>
      <xdr:row>22</xdr:row>
      <xdr:rowOff>138545</xdr:rowOff>
    </xdr:from>
    <xdr:to>
      <xdr:col>6</xdr:col>
      <xdr:colOff>772583</xdr:colOff>
      <xdr:row>22</xdr:row>
      <xdr:rowOff>1403297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7CA02954-B7C5-4628-A480-2A47EFB7D491}"/>
            </a:ext>
          </a:extLst>
        </xdr:cNvPr>
        <xdr:cNvSpPr/>
      </xdr:nvSpPr>
      <xdr:spPr>
        <a:xfrm>
          <a:off x="403513" y="13283045"/>
          <a:ext cx="2902720" cy="126475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th-TH" sz="1600" b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 eaLnBrk="1" fontAlgn="auto" latinLnBrk="0" hangingPunct="1"/>
          <a: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b="0" u="sng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                   </a:t>
          </a:r>
          <a: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  <a:t>)</a:t>
          </a:r>
        </a:p>
        <a:p>
          <a:pPr algn="ctr" eaLnBrk="1" fontAlgn="auto" latinLnBrk="0" hangingPunct="1"/>
          <a: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  <a:t>() </a:t>
          </a:r>
          <a:b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1">
              <a:latin typeface="Angsana New" panose="02020603050405020304" pitchFamily="18" charset="-34"/>
              <a:cs typeface="Angsana New" panose="02020603050405020304" pitchFamily="18" charset="-34"/>
            </a:rPr>
            <a:t>ลูกค้าคนสำคัญ</a:t>
          </a:r>
          <a:endParaRPr lang="en-US" sz="1600" b="1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6</xdr:col>
      <xdr:colOff>1090083</xdr:colOff>
      <xdr:row>22</xdr:row>
      <xdr:rowOff>112567</xdr:rowOff>
    </xdr:from>
    <xdr:to>
      <xdr:col>8</xdr:col>
      <xdr:colOff>206376</xdr:colOff>
      <xdr:row>22</xdr:row>
      <xdr:rowOff>1399116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7969A0E8-0BD9-4373-8BE7-A0CBE9C19005}"/>
            </a:ext>
          </a:extLst>
        </xdr:cNvPr>
        <xdr:cNvSpPr/>
      </xdr:nvSpPr>
      <xdr:spPr>
        <a:xfrm>
          <a:off x="3623733" y="13257067"/>
          <a:ext cx="3602568" cy="128654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  <a:t>(</a:t>
          </a:r>
          <a:r>
            <a:rPr kumimoji="0" lang="th-TH" sz="16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  <a:t>                                     </a:t>
          </a:r>
          <a:r>
            <a:rPr kumimoji="0" lang="th-TH" sz="1600" b="0" i="1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ea typeface="MingLiU_HKSCS-ExtB" panose="02020500000000000000" pitchFamily="18" charset="-120"/>
              <a:cs typeface="Angsana New" panose="02020603050405020304" pitchFamily="18" charset="-34"/>
            </a:rPr>
            <a:t>    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  <a:t>)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  <a:t>(  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th-TH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lbertus MT Lt" pitchFamily="2" charset="0"/>
              <a:cs typeface="Angsana New" panose="02020603050405020304" pitchFamily="18" charset="-34"/>
            </a:rPr>
            <a:t> ผู้เสนอขาย </a:t>
          </a:r>
          <a:endParaRPr kumimoji="0" lang="en-US" sz="16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lbertus MT Lt" pitchFamily="2" charset="0"/>
            <a:cs typeface="Angsana New" panose="02020603050405020304" pitchFamily="18" charset="-34"/>
          </a:endParaRPr>
        </a:p>
      </xdr:txBody>
    </xdr:sp>
    <xdr:clientData/>
  </xdr:twoCellAnchor>
  <xdr:twoCellAnchor editAs="oneCell">
    <xdr:from>
      <xdr:col>0</xdr:col>
      <xdr:colOff>12345</xdr:colOff>
      <xdr:row>24</xdr:row>
      <xdr:rowOff>96209</xdr:rowOff>
    </xdr:from>
    <xdr:to>
      <xdr:col>12</xdr:col>
      <xdr:colOff>84667</xdr:colOff>
      <xdr:row>26</xdr:row>
      <xdr:rowOff>177228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24BD911A-5A3D-4C84-B737-FBAD67E72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4" r="6358"/>
        <a:stretch/>
      </xdr:blipFill>
      <xdr:spPr bwMode="auto">
        <a:xfrm>
          <a:off x="12345" y="14812334"/>
          <a:ext cx="10715980" cy="113829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8</xdr:col>
      <xdr:colOff>634999</xdr:colOff>
      <xdr:row>22</xdr:row>
      <xdr:rowOff>83118</xdr:rowOff>
    </xdr:from>
    <xdr:to>
      <xdr:col>10</xdr:col>
      <xdr:colOff>1034584</xdr:colOff>
      <xdr:row>22</xdr:row>
      <xdr:rowOff>1393031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21F6FF75-2302-467A-9CCD-9395BA1424FA}"/>
            </a:ext>
          </a:extLst>
        </xdr:cNvPr>
        <xdr:cNvSpPr/>
      </xdr:nvSpPr>
      <xdr:spPr>
        <a:xfrm>
          <a:off x="7654924" y="13227618"/>
          <a:ext cx="2599860" cy="1309913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b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b="0" u="sng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                    </a:t>
          </a:r>
          <a: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  <a:t>)</a:t>
          </a:r>
          <a:b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1">
              <a:latin typeface="Angsana New" panose="02020603050405020304" pitchFamily="18" charset="-34"/>
              <a:cs typeface="Angsana New" panose="02020603050405020304" pitchFamily="18" charset="-34"/>
            </a:rPr>
            <a:t>(  นายเฟื่องฟู</a:t>
          </a:r>
          <a:r>
            <a:rPr lang="th-TH" sz="1600" b="1" baseline="0">
              <a:latin typeface="Angsana New" panose="02020603050405020304" pitchFamily="18" charset="-34"/>
              <a:cs typeface="Angsana New" panose="02020603050405020304" pitchFamily="18" charset="-34"/>
            </a:rPr>
            <a:t> ชีวินมหรัตน์ )</a:t>
          </a:r>
          <a:br>
            <a:rPr lang="th-TH" sz="1600" b="1" baseline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1" baseline="0">
              <a:latin typeface="Angsana New" panose="02020603050405020304" pitchFamily="18" charset="-34"/>
              <a:cs typeface="Angsana New" panose="02020603050405020304" pitchFamily="18" charset="-34"/>
            </a:rPr>
            <a:t>กรรมการผู้จัดการ/ผู้อนุมัติเสนอราคา</a:t>
          </a:r>
        </a:p>
      </xdr:txBody>
    </xdr:sp>
    <xdr:clientData/>
  </xdr:twoCellAnchor>
  <xdr:twoCellAnchor editAs="oneCell">
    <xdr:from>
      <xdr:col>0</xdr:col>
      <xdr:colOff>104851</xdr:colOff>
      <xdr:row>0</xdr:row>
      <xdr:rowOff>35717</xdr:rowOff>
    </xdr:from>
    <xdr:to>
      <xdr:col>10</xdr:col>
      <xdr:colOff>747991</xdr:colOff>
      <xdr:row>1</xdr:row>
      <xdr:rowOff>1164166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AA33D4A5-3F9E-4BCB-BCF2-679AF5EC2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99" b="6592"/>
        <a:stretch/>
      </xdr:blipFill>
      <xdr:spPr>
        <a:xfrm>
          <a:off x="104851" y="35717"/>
          <a:ext cx="9799840" cy="1366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P57"/>
  <sheetViews>
    <sheetView showWhiteSpace="0" zoomScaleSheetLayoutView="106" workbookViewId="0">
      <selection activeCell="N37" sqref="N37"/>
    </sheetView>
  </sheetViews>
  <sheetFormatPr defaultColWidth="9.140625" defaultRowHeight="24"/>
  <cols>
    <col min="1" max="1" width="9.28515625" style="3" customWidth="1"/>
    <col min="2" max="2" width="7.85546875" style="3" customWidth="1"/>
    <col min="3" max="3" width="10.140625" style="3" customWidth="1"/>
    <col min="4" max="4" width="30.28515625" style="3" customWidth="1"/>
    <col min="5" max="5" width="5" style="3" customWidth="1"/>
    <col min="6" max="6" width="16.5703125" style="3" customWidth="1"/>
    <col min="7" max="7" width="15.42578125" style="3" customWidth="1"/>
    <col min="8" max="8" width="12.7109375" style="5" customWidth="1"/>
    <col min="9" max="9" width="23.5703125" style="3" customWidth="1"/>
    <col min="10" max="16384" width="9.140625" style="3"/>
  </cols>
  <sheetData>
    <row r="1" spans="1:16" ht="24.75" customHeight="1">
      <c r="A1" s="6"/>
      <c r="B1" s="7"/>
      <c r="C1" s="7"/>
      <c r="D1" s="7"/>
      <c r="E1" s="8"/>
      <c r="F1" s="9"/>
      <c r="G1" s="9"/>
      <c r="H1" s="10"/>
      <c r="I1" s="31"/>
    </row>
    <row r="2" spans="1:16" ht="76.900000000000006" customHeight="1">
      <c r="A2" s="11"/>
      <c r="B2" s="12"/>
      <c r="C2" s="12"/>
      <c r="D2" s="12"/>
      <c r="E2" s="13"/>
      <c r="F2" s="13"/>
      <c r="G2" s="13"/>
      <c r="H2" s="14"/>
      <c r="I2" s="32"/>
    </row>
    <row r="3" spans="1:16" s="1" customFormat="1" ht="21" customHeight="1">
      <c r="A3" s="46" t="s">
        <v>0</v>
      </c>
      <c r="B3" s="195"/>
      <c r="C3" s="195"/>
      <c r="D3" s="195"/>
      <c r="E3" s="195"/>
      <c r="F3" s="196"/>
      <c r="G3" s="78" t="s">
        <v>16</v>
      </c>
      <c r="H3" s="208"/>
      <c r="I3" s="209"/>
    </row>
    <row r="4" spans="1:16" s="1" customFormat="1" ht="21" customHeight="1">
      <c r="A4" s="79"/>
      <c r="B4" s="195"/>
      <c r="C4" s="195"/>
      <c r="D4" s="195"/>
      <c r="E4" s="195"/>
      <c r="F4" s="196"/>
      <c r="G4" s="60" t="s">
        <v>17</v>
      </c>
      <c r="H4" s="210"/>
      <c r="I4" s="211"/>
    </row>
    <row r="5" spans="1:16" s="1" customFormat="1" ht="21" customHeight="1">
      <c r="A5" s="79"/>
      <c r="B5" s="195"/>
      <c r="C5" s="195"/>
      <c r="D5" s="195"/>
      <c r="E5" s="195"/>
      <c r="F5" s="196"/>
      <c r="G5" s="60" t="s">
        <v>18</v>
      </c>
      <c r="H5" s="212"/>
      <c r="I5" s="213"/>
    </row>
    <row r="6" spans="1:16" s="1" customFormat="1" ht="21" customHeight="1">
      <c r="A6" s="46" t="s">
        <v>27</v>
      </c>
      <c r="B6" s="195"/>
      <c r="C6" s="195"/>
      <c r="D6" s="195"/>
      <c r="E6" s="195"/>
      <c r="F6" s="196"/>
      <c r="G6" s="60" t="s">
        <v>19</v>
      </c>
      <c r="H6" s="197"/>
      <c r="I6" s="198"/>
      <c r="L6" s="181" t="s">
        <v>28</v>
      </c>
      <c r="M6" s="181"/>
      <c r="N6" s="181"/>
      <c r="O6" s="181"/>
      <c r="P6" s="181"/>
    </row>
    <row r="7" spans="1:16" s="2" customFormat="1" ht="25.15" customHeight="1">
      <c r="A7" s="199" t="s">
        <v>29</v>
      </c>
      <c r="B7" s="200"/>
      <c r="C7" s="200"/>
      <c r="D7" s="200"/>
      <c r="E7" s="200"/>
      <c r="F7" s="200"/>
      <c r="G7" s="200"/>
      <c r="H7" s="200"/>
      <c r="I7" s="201"/>
      <c r="L7" s="181"/>
      <c r="M7" s="181"/>
      <c r="N7" s="181"/>
      <c r="O7" s="181"/>
      <c r="P7" s="181"/>
    </row>
    <row r="8" spans="1:16" s="2" customFormat="1" ht="24" customHeight="1">
      <c r="A8" s="202" t="s">
        <v>20</v>
      </c>
      <c r="B8" s="203"/>
      <c r="C8" s="203"/>
      <c r="D8" s="203"/>
      <c r="E8" s="203"/>
      <c r="F8" s="203"/>
      <c r="G8" s="203"/>
      <c r="H8" s="203"/>
      <c r="I8" s="204"/>
    </row>
    <row r="9" spans="1:16" s="1" customFormat="1" ht="3" customHeight="1">
      <c r="A9" s="15"/>
      <c r="B9" s="16"/>
      <c r="C9" s="16"/>
      <c r="D9" s="16"/>
      <c r="E9" s="16"/>
      <c r="F9" s="16"/>
      <c r="G9" s="16"/>
      <c r="H9" s="17"/>
      <c r="I9" s="34"/>
    </row>
    <row r="10" spans="1:16" s="40" customFormat="1" ht="16.149999999999999" customHeight="1">
      <c r="A10" s="94" t="s">
        <v>2</v>
      </c>
      <c r="B10" s="95"/>
      <c r="C10" s="95"/>
      <c r="D10" s="96" t="s">
        <v>3</v>
      </c>
      <c r="E10" s="96"/>
      <c r="F10" s="95"/>
      <c r="G10" s="97" t="s">
        <v>4</v>
      </c>
      <c r="H10" s="69" t="s">
        <v>5</v>
      </c>
      <c r="I10" s="70" t="s">
        <v>6</v>
      </c>
    </row>
    <row r="11" spans="1:16" s="45" customFormat="1" ht="17.45" customHeight="1">
      <c r="A11" s="47" t="s">
        <v>7</v>
      </c>
      <c r="B11" s="48"/>
      <c r="C11" s="48"/>
      <c r="D11" s="49" t="s">
        <v>8</v>
      </c>
      <c r="E11" s="49"/>
      <c r="F11" s="48"/>
      <c r="G11" s="50" t="s">
        <v>9</v>
      </c>
      <c r="H11" s="51" t="s">
        <v>10</v>
      </c>
      <c r="I11" s="55" t="s">
        <v>11</v>
      </c>
    </row>
    <row r="12" spans="1:16" s="45" customFormat="1" ht="31.15" customHeight="1">
      <c r="A12" s="22">
        <v>1</v>
      </c>
      <c r="B12" s="205" t="s">
        <v>26</v>
      </c>
      <c r="C12" s="206"/>
      <c r="D12" s="206"/>
      <c r="E12" s="206"/>
      <c r="F12" s="207"/>
      <c r="G12" s="23">
        <v>6580</v>
      </c>
      <c r="H12" s="24">
        <v>1</v>
      </c>
      <c r="I12" s="36">
        <v>6580</v>
      </c>
    </row>
    <row r="13" spans="1:16" s="1" customFormat="1" ht="0.75" customHeight="1">
      <c r="A13" s="182" t="str">
        <f>BAHTTEXT(I14)</f>
        <v>หกพันห้าร้อยแปดสิบบาทถ้วน</v>
      </c>
      <c r="B13" s="183"/>
      <c r="C13" s="183"/>
      <c r="D13" s="183"/>
      <c r="E13" s="183"/>
      <c r="F13" s="184"/>
      <c r="G13" s="188"/>
      <c r="H13" s="189"/>
      <c r="I13" s="36"/>
    </row>
    <row r="14" spans="1:16" s="2" customFormat="1" ht="22.9" customHeight="1">
      <c r="A14" s="185"/>
      <c r="B14" s="186"/>
      <c r="C14" s="186"/>
      <c r="D14" s="186"/>
      <c r="E14" s="186"/>
      <c r="F14" s="187"/>
      <c r="G14" s="190" t="s">
        <v>12</v>
      </c>
      <c r="H14" s="191"/>
      <c r="I14" s="58">
        <f>SUM(I12:I13)</f>
        <v>6580</v>
      </c>
    </row>
    <row r="15" spans="1:16" s="2" customFormat="1" ht="19.5" customHeight="1">
      <c r="A15" s="192" t="s">
        <v>30</v>
      </c>
      <c r="B15" s="193"/>
      <c r="C15" s="193"/>
      <c r="D15" s="193"/>
      <c r="E15" s="193"/>
      <c r="F15" s="193"/>
      <c r="G15" s="193"/>
      <c r="H15" s="193"/>
      <c r="I15" s="194"/>
    </row>
    <row r="16" spans="1:16" s="4" customFormat="1" ht="19.5" customHeight="1">
      <c r="A16" s="81" t="s">
        <v>31</v>
      </c>
      <c r="B16" s="98"/>
      <c r="C16" s="98"/>
      <c r="D16" s="98"/>
      <c r="E16" s="98"/>
      <c r="F16" s="98"/>
      <c r="G16" s="98"/>
      <c r="H16" s="98"/>
      <c r="I16" s="99"/>
    </row>
    <row r="17" spans="1:10" s="93" customFormat="1" ht="19.149999999999999" customHeight="1">
      <c r="A17" s="81" t="s">
        <v>32</v>
      </c>
      <c r="B17" s="98"/>
      <c r="C17" s="98"/>
      <c r="D17" s="98"/>
      <c r="E17" s="98"/>
      <c r="F17" s="98"/>
      <c r="G17" s="98"/>
      <c r="H17" s="98"/>
      <c r="I17" s="99"/>
    </row>
    <row r="18" spans="1:10" ht="25.15" customHeight="1">
      <c r="A18" s="25" t="s">
        <v>21</v>
      </c>
      <c r="B18" s="26"/>
      <c r="C18" s="26"/>
      <c r="D18" s="26"/>
      <c r="E18" s="26"/>
      <c r="F18" s="26"/>
      <c r="G18" s="26"/>
      <c r="H18" s="27"/>
      <c r="I18" s="38"/>
    </row>
    <row r="19" spans="1:10" s="30" customFormat="1" ht="18.600000000000001" customHeight="1">
      <c r="A19" s="71" t="s">
        <v>33</v>
      </c>
      <c r="B19" s="41"/>
      <c r="C19" s="41"/>
      <c r="D19" s="41"/>
      <c r="E19" s="41"/>
      <c r="F19" s="41"/>
      <c r="G19" s="41"/>
      <c r="H19" s="80"/>
      <c r="I19" s="75"/>
    </row>
    <row r="20" spans="1:10" s="30" customFormat="1" ht="18.600000000000001" customHeight="1">
      <c r="A20" s="81" t="s">
        <v>34</v>
      </c>
      <c r="B20" s="41"/>
      <c r="C20" s="41"/>
      <c r="D20" s="41"/>
      <c r="E20" s="41"/>
      <c r="F20" s="41"/>
      <c r="G20" s="41"/>
      <c r="H20" s="80"/>
      <c r="I20" s="75"/>
    </row>
    <row r="21" spans="1:10" s="30" customFormat="1" ht="18.600000000000001" customHeight="1">
      <c r="A21" s="71" t="s">
        <v>35</v>
      </c>
      <c r="B21" s="41"/>
      <c r="C21" s="41"/>
      <c r="D21" s="41"/>
      <c r="E21" s="41"/>
      <c r="F21" s="41"/>
      <c r="G21" s="41"/>
      <c r="H21" s="80"/>
      <c r="I21" s="75"/>
    </row>
    <row r="22" spans="1:10" s="30" customFormat="1" ht="18.600000000000001" customHeight="1">
      <c r="A22" s="71" t="s">
        <v>36</v>
      </c>
      <c r="B22" s="41"/>
      <c r="C22" s="41"/>
      <c r="D22" s="41"/>
      <c r="E22" s="41"/>
      <c r="F22" s="41"/>
      <c r="G22" s="41"/>
      <c r="H22" s="80"/>
      <c r="I22" s="75"/>
    </row>
    <row r="23" spans="1:10" s="30" customFormat="1" ht="18.600000000000001" customHeight="1">
      <c r="A23" s="82" t="s">
        <v>37</v>
      </c>
      <c r="B23" s="73"/>
      <c r="C23" s="73"/>
      <c r="D23" s="74" t="s">
        <v>38</v>
      </c>
      <c r="E23" s="74"/>
      <c r="F23" s="74"/>
      <c r="G23" s="74"/>
      <c r="H23" s="83"/>
      <c r="I23" s="90"/>
    </row>
    <row r="24" spans="1:10" s="30" customFormat="1" ht="18.600000000000001" customHeight="1">
      <c r="A24" s="82"/>
      <c r="B24" s="73"/>
      <c r="C24" s="73"/>
      <c r="D24" s="74" t="s">
        <v>39</v>
      </c>
      <c r="E24" s="74"/>
      <c r="F24" s="74"/>
      <c r="G24" s="74"/>
      <c r="H24" s="83"/>
      <c r="I24" s="90"/>
    </row>
    <row r="25" spans="1:10" s="30" customFormat="1" ht="18.600000000000001" customHeight="1">
      <c r="A25" s="82" t="s">
        <v>22</v>
      </c>
      <c r="B25" s="73"/>
      <c r="C25" s="84"/>
      <c r="D25" s="29"/>
      <c r="E25" s="29"/>
      <c r="F25" s="29"/>
      <c r="G25" s="29"/>
      <c r="H25" s="85"/>
      <c r="I25" s="91"/>
    </row>
    <row r="26" spans="1:10" s="30" customFormat="1" ht="18.600000000000001" customHeight="1">
      <c r="A26" s="82" t="s">
        <v>23</v>
      </c>
      <c r="B26" s="73"/>
      <c r="C26" s="84"/>
      <c r="D26" s="29"/>
      <c r="E26" s="29"/>
      <c r="F26" s="29"/>
      <c r="G26" s="29"/>
      <c r="H26" s="85"/>
      <c r="I26" s="91"/>
    </row>
    <row r="27" spans="1:10" s="30" customFormat="1" ht="18.600000000000001" customHeight="1">
      <c r="A27" s="82" t="s">
        <v>40</v>
      </c>
      <c r="B27" s="73"/>
      <c r="C27" s="84"/>
      <c r="D27" s="29"/>
      <c r="E27" s="29"/>
      <c r="F27" s="29"/>
      <c r="G27" s="29"/>
      <c r="H27" s="85"/>
      <c r="I27" s="91"/>
    </row>
    <row r="28" spans="1:10" s="30" customFormat="1" ht="18.600000000000001" customHeight="1">
      <c r="A28" s="72" t="s">
        <v>24</v>
      </c>
      <c r="B28" s="41"/>
      <c r="H28" s="39"/>
      <c r="I28" s="67"/>
    </row>
    <row r="29" spans="1:10" s="30" customFormat="1" ht="18.600000000000001" customHeight="1">
      <c r="A29" s="72" t="s">
        <v>41</v>
      </c>
      <c r="B29" s="41"/>
      <c r="H29" s="39"/>
      <c r="I29" s="67"/>
    </row>
    <row r="30" spans="1:10" s="30" customFormat="1" ht="18.600000000000001" customHeight="1">
      <c r="A30" s="71" t="s">
        <v>42</v>
      </c>
      <c r="B30" s="41"/>
      <c r="G30" s="39"/>
      <c r="H30" s="39"/>
      <c r="I30" s="42"/>
      <c r="J30" s="59"/>
    </row>
    <row r="31" spans="1:10" s="30" customFormat="1" ht="18.600000000000001" customHeight="1">
      <c r="A31" s="72" t="s">
        <v>43</v>
      </c>
      <c r="B31" s="41"/>
      <c r="H31" s="39"/>
      <c r="I31" s="67"/>
      <c r="J31" s="92"/>
    </row>
    <row r="32" spans="1:10" s="30" customFormat="1" ht="18.600000000000001" customHeight="1">
      <c r="A32" s="72" t="s">
        <v>44</v>
      </c>
      <c r="B32" s="41"/>
      <c r="H32" s="39"/>
      <c r="I32" s="67"/>
      <c r="J32" s="59"/>
    </row>
    <row r="33" spans="1:10" s="30" customFormat="1" ht="10.9" customHeight="1">
      <c r="A33" s="72"/>
      <c r="B33" s="41"/>
      <c r="H33" s="39"/>
      <c r="I33" s="67"/>
      <c r="J33" s="59"/>
    </row>
    <row r="34" spans="1:10" s="28" customFormat="1" ht="19.899999999999999" customHeight="1">
      <c r="A34" s="175" t="s">
        <v>13</v>
      </c>
      <c r="B34" s="176"/>
      <c r="C34" s="176"/>
      <c r="D34" s="176"/>
      <c r="E34" s="176"/>
      <c r="F34" s="176"/>
      <c r="G34" s="176"/>
      <c r="H34" s="176"/>
      <c r="I34" s="177"/>
      <c r="J34" s="66"/>
    </row>
    <row r="35" spans="1:10" s="28" customFormat="1" ht="19.899999999999999" customHeight="1">
      <c r="A35" s="175" t="s">
        <v>14</v>
      </c>
      <c r="B35" s="176"/>
      <c r="C35" s="176"/>
      <c r="D35" s="176"/>
      <c r="E35" s="176"/>
      <c r="F35" s="176"/>
      <c r="G35" s="176"/>
      <c r="H35" s="176"/>
      <c r="I35" s="177"/>
      <c r="J35" s="66"/>
    </row>
    <row r="36" spans="1:10" s="28" customFormat="1" ht="19.899999999999999" customHeight="1">
      <c r="A36" s="175" t="s">
        <v>15</v>
      </c>
      <c r="B36" s="176"/>
      <c r="C36" s="176"/>
      <c r="D36" s="176"/>
      <c r="E36" s="176"/>
      <c r="F36" s="176"/>
      <c r="G36" s="176"/>
      <c r="H36" s="176"/>
      <c r="I36" s="177"/>
      <c r="J36" s="66"/>
    </row>
    <row r="37" spans="1:10" s="30" customFormat="1" ht="108" customHeight="1">
      <c r="A37" s="178"/>
      <c r="B37" s="179"/>
      <c r="C37" s="179"/>
      <c r="D37" s="179"/>
      <c r="E37" s="179"/>
      <c r="F37" s="179"/>
      <c r="G37" s="179"/>
      <c r="H37" s="179"/>
      <c r="I37" s="180"/>
      <c r="J37" s="59"/>
    </row>
    <row r="38" spans="1:10" ht="18.75" customHeight="1"/>
    <row r="39" spans="1:10" ht="37.15" customHeight="1"/>
    <row r="52" ht="77.25" customHeight="1"/>
    <row r="55" ht="50.25" customHeight="1"/>
    <row r="56" ht="71.25" customHeight="1"/>
    <row r="57" ht="34.5" customHeight="1"/>
  </sheetData>
  <mergeCells count="20">
    <mergeCell ref="B3:F3"/>
    <mergeCell ref="H3:I3"/>
    <mergeCell ref="B4:F4"/>
    <mergeCell ref="H4:I4"/>
    <mergeCell ref="B5:F5"/>
    <mergeCell ref="H5:I5"/>
    <mergeCell ref="A36:I36"/>
    <mergeCell ref="A37:I37"/>
    <mergeCell ref="L6:P7"/>
    <mergeCell ref="A13:F14"/>
    <mergeCell ref="G13:H13"/>
    <mergeCell ref="G14:H14"/>
    <mergeCell ref="A15:I15"/>
    <mergeCell ref="A34:I34"/>
    <mergeCell ref="A35:I35"/>
    <mergeCell ref="B6:F6"/>
    <mergeCell ref="H6:I6"/>
    <mergeCell ref="A7:I7"/>
    <mergeCell ref="A8:I8"/>
    <mergeCell ref="B12:F12"/>
  </mergeCells>
  <pageMargins left="0.3" right="0.2" top="0.25" bottom="0.25" header="0.3" footer="0.3"/>
  <pageSetup scale="84" orientation="portrait" r:id="rId1"/>
  <headerFooter>
    <oddHeader>&amp;RFM-SA-02-21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R52"/>
  <sheetViews>
    <sheetView zoomScaleNormal="100" workbookViewId="0">
      <selection activeCell="U46" sqref="U46"/>
    </sheetView>
  </sheetViews>
  <sheetFormatPr defaultColWidth="9.140625" defaultRowHeight="24"/>
  <cols>
    <col min="1" max="1" width="8.5703125" style="3" customWidth="1"/>
    <col min="2" max="2" width="7.85546875" style="3" customWidth="1"/>
    <col min="3" max="3" width="10.140625" style="3" customWidth="1"/>
    <col min="4" max="4" width="30.28515625" style="3" customWidth="1"/>
    <col min="5" max="5" width="5" style="3" customWidth="1"/>
    <col min="6" max="6" width="24.28515625" style="3" customWidth="1"/>
    <col min="7" max="7" width="16.85546875" style="3" customWidth="1"/>
    <col min="8" max="8" width="11.85546875" style="5" customWidth="1"/>
    <col min="9" max="9" width="16.5703125" style="3" customWidth="1"/>
    <col min="10" max="10" width="3.42578125" style="3" customWidth="1"/>
    <col min="11" max="11" width="17.7109375" style="3" customWidth="1"/>
    <col min="12" max="16384" width="9.140625" style="3"/>
  </cols>
  <sheetData>
    <row r="1" spans="1:18" ht="24.75" customHeight="1">
      <c r="A1" s="6"/>
      <c r="B1" s="7"/>
      <c r="C1" s="7"/>
      <c r="D1" s="7"/>
      <c r="E1" s="8"/>
      <c r="F1" s="9"/>
      <c r="G1" s="9"/>
      <c r="H1" s="10"/>
      <c r="I1" s="31"/>
      <c r="K1" s="68" t="s">
        <v>45</v>
      </c>
      <c r="L1" s="86"/>
      <c r="M1" s="86"/>
    </row>
    <row r="2" spans="1:18" ht="87.6" customHeight="1">
      <c r="A2" s="11"/>
      <c r="B2" s="12"/>
      <c r="C2" s="12"/>
      <c r="D2" s="12"/>
      <c r="E2" s="13"/>
      <c r="F2" s="13"/>
      <c r="G2" s="13"/>
      <c r="H2" s="14"/>
      <c r="I2" s="32"/>
    </row>
    <row r="3" spans="1:18" s="1" customFormat="1" ht="24" customHeight="1">
      <c r="A3" s="77" t="s">
        <v>0</v>
      </c>
      <c r="B3" s="228" t="s">
        <v>46</v>
      </c>
      <c r="C3" s="228"/>
      <c r="D3" s="228"/>
      <c r="E3" s="228"/>
      <c r="F3" s="229"/>
      <c r="G3" s="78" t="s">
        <v>16</v>
      </c>
      <c r="H3" s="208" t="s">
        <v>47</v>
      </c>
      <c r="I3" s="209"/>
      <c r="K3" s="33"/>
    </row>
    <row r="4" spans="1:18" s="1" customFormat="1" ht="24" customHeight="1">
      <c r="A4" s="79"/>
      <c r="B4" s="228" t="s">
        <v>48</v>
      </c>
      <c r="C4" s="228"/>
      <c r="D4" s="228"/>
      <c r="E4" s="228"/>
      <c r="F4" s="229"/>
      <c r="G4" s="60" t="s">
        <v>17</v>
      </c>
      <c r="H4" s="210" t="s">
        <v>49</v>
      </c>
      <c r="I4" s="211"/>
    </row>
    <row r="5" spans="1:18" s="1" customFormat="1" ht="24" customHeight="1">
      <c r="A5" s="79"/>
      <c r="B5" s="195"/>
      <c r="C5" s="195"/>
      <c r="D5" s="195"/>
      <c r="E5" s="195"/>
      <c r="F5" s="196"/>
      <c r="G5" s="60" t="s">
        <v>18</v>
      </c>
      <c r="H5" s="212" t="s">
        <v>50</v>
      </c>
      <c r="I5" s="213"/>
    </row>
    <row r="6" spans="1:18" s="1" customFormat="1" ht="24" customHeight="1">
      <c r="A6" s="77" t="s">
        <v>27</v>
      </c>
      <c r="B6" s="228" t="s">
        <v>51</v>
      </c>
      <c r="C6" s="228"/>
      <c r="D6" s="228"/>
      <c r="E6" s="228"/>
      <c r="F6" s="229"/>
      <c r="G6" s="60" t="s">
        <v>19</v>
      </c>
      <c r="H6" s="230" t="s">
        <v>52</v>
      </c>
      <c r="I6" s="198"/>
    </row>
    <row r="7" spans="1:18" s="2" customFormat="1" ht="30" customHeight="1">
      <c r="A7" s="199" t="s">
        <v>53</v>
      </c>
      <c r="B7" s="200"/>
      <c r="C7" s="200"/>
      <c r="D7" s="200"/>
      <c r="E7" s="200"/>
      <c r="F7" s="200"/>
      <c r="G7" s="200"/>
      <c r="H7" s="200"/>
      <c r="I7" s="201"/>
    </row>
    <row r="8" spans="1:18" s="2" customFormat="1" ht="19.5" customHeight="1">
      <c r="A8" s="202" t="s">
        <v>20</v>
      </c>
      <c r="B8" s="203"/>
      <c r="C8" s="203"/>
      <c r="D8" s="203"/>
      <c r="E8" s="203"/>
      <c r="F8" s="203"/>
      <c r="G8" s="203"/>
      <c r="H8" s="203"/>
      <c r="I8" s="204"/>
      <c r="L8" s="53"/>
    </row>
    <row r="9" spans="1:18" s="1" customFormat="1" ht="3" customHeight="1">
      <c r="A9" s="16"/>
      <c r="B9" s="16"/>
      <c r="C9" s="16"/>
      <c r="D9" s="16"/>
      <c r="E9" s="16"/>
      <c r="F9" s="16"/>
      <c r="G9" s="16"/>
      <c r="H9" s="17"/>
      <c r="I9" s="87"/>
      <c r="L9" s="54"/>
    </row>
    <row r="10" spans="1:18" s="76" customFormat="1" ht="19.5" customHeight="1">
      <c r="A10" s="18" t="s">
        <v>2</v>
      </c>
      <c r="B10" s="19"/>
      <c r="C10" s="19"/>
      <c r="D10" s="19" t="s">
        <v>3</v>
      </c>
      <c r="E10" s="19"/>
      <c r="F10" s="19"/>
      <c r="G10" s="20" t="s">
        <v>4</v>
      </c>
      <c r="H10" s="21" t="s">
        <v>5</v>
      </c>
      <c r="I10" s="35" t="s">
        <v>6</v>
      </c>
      <c r="L10" s="88"/>
    </row>
    <row r="11" spans="1:18" s="45" customFormat="1" ht="18.75" customHeight="1">
      <c r="A11" s="47" t="s">
        <v>7</v>
      </c>
      <c r="B11" s="48"/>
      <c r="C11" s="48"/>
      <c r="D11" s="49" t="s">
        <v>8</v>
      </c>
      <c r="E11" s="49"/>
      <c r="F11" s="48"/>
      <c r="G11" s="50" t="s">
        <v>9</v>
      </c>
      <c r="H11" s="51" t="s">
        <v>10</v>
      </c>
      <c r="I11" s="55" t="s">
        <v>11</v>
      </c>
      <c r="L11" s="56"/>
      <c r="N11" s="181" t="s">
        <v>28</v>
      </c>
      <c r="O11" s="181"/>
      <c r="P11" s="181"/>
      <c r="Q11" s="181"/>
      <c r="R11" s="181"/>
    </row>
    <row r="12" spans="1:18" s="45" customFormat="1" ht="28.5" customHeight="1">
      <c r="A12" s="52">
        <v>1</v>
      </c>
      <c r="B12" s="205" t="s">
        <v>54</v>
      </c>
      <c r="C12" s="206"/>
      <c r="D12" s="206"/>
      <c r="E12" s="206"/>
      <c r="F12" s="207"/>
      <c r="G12" s="23">
        <v>12500</v>
      </c>
      <c r="H12" s="24">
        <v>1</v>
      </c>
      <c r="I12" s="36">
        <v>12500</v>
      </c>
      <c r="L12" s="56"/>
      <c r="N12" s="181"/>
      <c r="O12" s="181"/>
      <c r="P12" s="181"/>
      <c r="Q12" s="181"/>
      <c r="R12" s="181"/>
    </row>
    <row r="13" spans="1:18" s="1" customFormat="1" ht="0.75" customHeight="1">
      <c r="A13" s="217" t="str">
        <f>BAHTTEXT(I14)</f>
        <v>หนึ่งหมื่นสองพันห้าร้อยบาทถ้วน</v>
      </c>
      <c r="B13" s="218"/>
      <c r="C13" s="218"/>
      <c r="D13" s="218"/>
      <c r="E13" s="218"/>
      <c r="F13" s="219"/>
      <c r="G13" s="188"/>
      <c r="H13" s="189"/>
      <c r="I13" s="36"/>
      <c r="L13" s="57"/>
      <c r="M13" s="57"/>
      <c r="N13" s="57"/>
    </row>
    <row r="14" spans="1:18" s="2" customFormat="1" ht="24.75" customHeight="1">
      <c r="A14" s="220"/>
      <c r="B14" s="221"/>
      <c r="C14" s="221"/>
      <c r="D14" s="221"/>
      <c r="E14" s="221"/>
      <c r="F14" s="222"/>
      <c r="G14" s="223" t="s">
        <v>12</v>
      </c>
      <c r="H14" s="224"/>
      <c r="I14" s="89">
        <f>SUM(I12:I13)</f>
        <v>12500</v>
      </c>
      <c r="L14" s="37"/>
      <c r="M14" s="37"/>
      <c r="N14" s="37"/>
    </row>
    <row r="15" spans="1:18" ht="27.6" customHeight="1">
      <c r="A15" s="25" t="s">
        <v>21</v>
      </c>
      <c r="B15" s="26"/>
      <c r="C15" s="26"/>
      <c r="D15" s="26"/>
      <c r="E15" s="26"/>
      <c r="F15" s="26"/>
      <c r="G15" s="26"/>
      <c r="H15" s="27"/>
      <c r="I15" s="38"/>
    </row>
    <row r="16" spans="1:18" s="30" customFormat="1" ht="19.149999999999999" customHeight="1">
      <c r="A16" s="71" t="s">
        <v>55</v>
      </c>
      <c r="B16" s="41"/>
      <c r="C16" s="41"/>
      <c r="D16" s="41"/>
      <c r="E16" s="41"/>
      <c r="F16" s="41"/>
      <c r="G16" s="41"/>
      <c r="H16" s="80"/>
      <c r="I16" s="75"/>
    </row>
    <row r="17" spans="1:15" s="30" customFormat="1" ht="19.149999999999999" customHeight="1">
      <c r="A17" s="81" t="s">
        <v>34</v>
      </c>
      <c r="B17" s="41"/>
      <c r="C17" s="41"/>
      <c r="D17" s="41"/>
      <c r="E17" s="41"/>
      <c r="F17" s="41"/>
      <c r="G17" s="41"/>
      <c r="H17" s="80"/>
      <c r="I17" s="75"/>
    </row>
    <row r="18" spans="1:15" s="30" customFormat="1" ht="19.149999999999999" customHeight="1">
      <c r="A18" s="225" t="s">
        <v>35</v>
      </c>
      <c r="B18" s="226"/>
      <c r="C18" s="226"/>
      <c r="D18" s="226"/>
      <c r="E18" s="226"/>
      <c r="F18" s="226"/>
      <c r="G18" s="226"/>
      <c r="H18" s="226"/>
      <c r="I18" s="227"/>
    </row>
    <row r="19" spans="1:15" s="30" customFormat="1" ht="19.149999999999999" customHeight="1">
      <c r="A19" s="71" t="s">
        <v>36</v>
      </c>
      <c r="B19" s="41"/>
      <c r="C19" s="41"/>
      <c r="D19" s="41"/>
      <c r="E19" s="41"/>
      <c r="F19" s="41"/>
      <c r="G19" s="41"/>
      <c r="H19" s="80"/>
      <c r="I19" s="75"/>
    </row>
    <row r="20" spans="1:15" s="30" customFormat="1" ht="19.149999999999999" customHeight="1">
      <c r="A20" s="82" t="s">
        <v>56</v>
      </c>
      <c r="B20" s="73"/>
      <c r="C20" s="73"/>
      <c r="D20" s="74" t="s">
        <v>57</v>
      </c>
      <c r="E20" s="74"/>
      <c r="F20" s="74"/>
      <c r="G20" s="74"/>
      <c r="H20" s="83"/>
      <c r="I20" s="90"/>
    </row>
    <row r="21" spans="1:15" s="30" customFormat="1" ht="19.149999999999999" customHeight="1">
      <c r="A21" s="82" t="s">
        <v>22</v>
      </c>
      <c r="B21" s="73"/>
      <c r="C21" s="84"/>
      <c r="D21" s="29"/>
      <c r="E21" s="29"/>
      <c r="F21" s="29"/>
      <c r="G21" s="29"/>
      <c r="H21" s="85"/>
      <c r="I21" s="91"/>
    </row>
    <row r="22" spans="1:15" s="30" customFormat="1" ht="19.149999999999999" customHeight="1">
      <c r="A22" s="82" t="s">
        <v>23</v>
      </c>
      <c r="B22" s="73"/>
      <c r="C22" s="84"/>
      <c r="D22" s="29"/>
      <c r="E22" s="29"/>
      <c r="F22" s="29"/>
      <c r="G22" s="29"/>
      <c r="H22" s="85"/>
      <c r="I22" s="91"/>
    </row>
    <row r="23" spans="1:15" s="30" customFormat="1" ht="19.149999999999999" customHeight="1">
      <c r="A23" s="82" t="s">
        <v>40</v>
      </c>
      <c r="B23" s="73"/>
      <c r="C23" s="84"/>
      <c r="D23" s="29"/>
      <c r="E23" s="29"/>
      <c r="F23" s="29"/>
      <c r="G23" s="29"/>
      <c r="H23" s="85"/>
      <c r="I23" s="91"/>
    </row>
    <row r="24" spans="1:15" s="30" customFormat="1" ht="19.149999999999999" customHeight="1">
      <c r="A24" s="72" t="s">
        <v>24</v>
      </c>
      <c r="B24" s="41"/>
      <c r="H24" s="39"/>
      <c r="I24" s="67"/>
    </row>
    <row r="25" spans="1:15" s="30" customFormat="1" ht="19.149999999999999" customHeight="1">
      <c r="A25" s="72" t="s">
        <v>41</v>
      </c>
      <c r="B25" s="41"/>
      <c r="H25" s="39"/>
      <c r="I25" s="67"/>
    </row>
    <row r="26" spans="1:15" s="30" customFormat="1" ht="19.149999999999999" customHeight="1">
      <c r="A26" s="71" t="s">
        <v>42</v>
      </c>
      <c r="B26" s="41"/>
      <c r="G26" s="39"/>
      <c r="H26" s="39"/>
      <c r="I26" s="42"/>
      <c r="O26" s="59"/>
    </row>
    <row r="27" spans="1:15" s="30" customFormat="1" ht="19.149999999999999" customHeight="1">
      <c r="A27" s="72" t="s">
        <v>43</v>
      </c>
      <c r="B27" s="41"/>
      <c r="H27" s="39"/>
      <c r="I27" s="67"/>
      <c r="M27" s="92"/>
      <c r="N27" s="92"/>
      <c r="O27" s="92"/>
    </row>
    <row r="28" spans="1:15" s="30" customFormat="1" ht="19.149999999999999" customHeight="1">
      <c r="A28" s="72" t="s">
        <v>44</v>
      </c>
      <c r="B28" s="41"/>
      <c r="H28" s="39"/>
      <c r="I28" s="67"/>
      <c r="O28" s="59"/>
    </row>
    <row r="29" spans="1:15" s="30" customFormat="1" ht="13.9" customHeight="1">
      <c r="A29" s="72"/>
      <c r="B29" s="41"/>
      <c r="H29" s="39"/>
      <c r="I29" s="67"/>
      <c r="O29" s="59"/>
    </row>
    <row r="30" spans="1:15" s="30" customFormat="1" ht="24.75" customHeight="1">
      <c r="A30" s="214" t="s">
        <v>13</v>
      </c>
      <c r="B30" s="215"/>
      <c r="C30" s="215"/>
      <c r="D30" s="215"/>
      <c r="E30" s="215"/>
      <c r="F30" s="215"/>
      <c r="G30" s="215"/>
      <c r="H30" s="215"/>
      <c r="I30" s="216"/>
      <c r="O30" s="59"/>
    </row>
    <row r="31" spans="1:15" s="30" customFormat="1" ht="21" customHeight="1">
      <c r="A31" s="214" t="s">
        <v>14</v>
      </c>
      <c r="B31" s="215"/>
      <c r="C31" s="215"/>
      <c r="D31" s="215"/>
      <c r="E31" s="215"/>
      <c r="F31" s="215"/>
      <c r="G31" s="215"/>
      <c r="H31" s="215"/>
      <c r="I31" s="216"/>
      <c r="O31" s="59"/>
    </row>
    <row r="32" spans="1:15" s="30" customFormat="1" ht="21" customHeight="1">
      <c r="A32" s="214" t="s">
        <v>15</v>
      </c>
      <c r="B32" s="215"/>
      <c r="C32" s="215"/>
      <c r="D32" s="215"/>
      <c r="E32" s="215"/>
      <c r="F32" s="215"/>
      <c r="G32" s="215"/>
      <c r="H32" s="215"/>
      <c r="I32" s="216"/>
      <c r="O32" s="59"/>
    </row>
    <row r="33" spans="1:15" s="30" customFormat="1" ht="125.45" customHeight="1">
      <c r="A33" s="178"/>
      <c r="B33" s="179"/>
      <c r="C33" s="179"/>
      <c r="D33" s="179"/>
      <c r="E33" s="179"/>
      <c r="F33" s="179"/>
      <c r="G33" s="179"/>
      <c r="H33" s="179"/>
      <c r="I33" s="180"/>
      <c r="O33" s="59"/>
    </row>
    <row r="34" spans="1:15" ht="29.45" customHeight="1"/>
    <row r="35" spans="1:15" ht="42" customHeight="1"/>
    <row r="47" spans="1:15" ht="77.25" customHeight="1"/>
    <row r="50" ht="50.25" customHeight="1"/>
    <row r="51" ht="71.25" customHeight="1"/>
    <row r="52" ht="34.5" customHeight="1"/>
  </sheetData>
  <mergeCells count="20">
    <mergeCell ref="B3:F3"/>
    <mergeCell ref="H3:I3"/>
    <mergeCell ref="B4:F4"/>
    <mergeCell ref="H4:I4"/>
    <mergeCell ref="B5:F5"/>
    <mergeCell ref="H5:I5"/>
    <mergeCell ref="B6:F6"/>
    <mergeCell ref="H6:I6"/>
    <mergeCell ref="A7:I7"/>
    <mergeCell ref="A8:I8"/>
    <mergeCell ref="B12:F12"/>
    <mergeCell ref="A32:I32"/>
    <mergeCell ref="A33:I33"/>
    <mergeCell ref="A13:F14"/>
    <mergeCell ref="N11:R12"/>
    <mergeCell ref="G13:H13"/>
    <mergeCell ref="G14:H14"/>
    <mergeCell ref="A18:I18"/>
    <mergeCell ref="A30:I30"/>
    <mergeCell ref="A31:I31"/>
  </mergeCells>
  <pageMargins left="0.2" right="0.2" top="0.25" bottom="0.25" header="0.3" footer="0.3"/>
  <pageSetup scale="85" orientation="portrait" r:id="rId1"/>
  <headerFooter>
    <oddHeader>&amp;RFM-SA-02-22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0278-0802-4A00-BC57-076AB85E2F5F}">
  <sheetPr>
    <tabColor rgb="FFFFC000"/>
  </sheetPr>
  <dimension ref="A1:N29"/>
  <sheetViews>
    <sheetView tabSelected="1" topLeftCell="A14" zoomScale="85" zoomScaleNormal="85" workbookViewId="0">
      <selection activeCell="O30" sqref="O30"/>
    </sheetView>
  </sheetViews>
  <sheetFormatPr defaultColWidth="9.140625" defaultRowHeight="26.25"/>
  <cols>
    <col min="1" max="1" width="2.28515625" style="43" customWidth="1"/>
    <col min="2" max="2" width="12.5703125" style="43" customWidth="1"/>
    <col min="3" max="3" width="7.85546875" style="43" customWidth="1"/>
    <col min="4" max="4" width="7.140625" style="43" customWidth="1"/>
    <col min="5" max="5" width="2.42578125" style="43" customWidth="1"/>
    <col min="6" max="6" width="5.7109375" style="44" customWidth="1"/>
    <col min="7" max="7" width="22.5703125" style="44" customWidth="1"/>
    <col min="8" max="8" width="44.7109375" style="43" customWidth="1"/>
    <col min="9" max="9" width="19.85546875" style="43" customWidth="1"/>
    <col min="10" max="10" width="12.28515625" style="64" customWidth="1"/>
    <col min="11" max="11" width="19.85546875" style="43" customWidth="1"/>
    <col min="12" max="12" width="2.5703125" style="43" customWidth="1"/>
    <col min="13" max="16384" width="9.140625" style="43"/>
  </cols>
  <sheetData>
    <row r="1" spans="1:14" ht="18.75" customHeight="1">
      <c r="A1" s="124"/>
      <c r="B1" s="106"/>
      <c r="C1" s="104"/>
      <c r="D1" s="104"/>
      <c r="E1" s="104"/>
      <c r="F1" s="105"/>
      <c r="G1" s="105"/>
      <c r="H1" s="106"/>
      <c r="I1" s="106"/>
      <c r="J1" s="107"/>
      <c r="K1" s="106"/>
      <c r="L1" s="125"/>
    </row>
    <row r="2" spans="1:14" ht="93.75" customHeight="1">
      <c r="A2" s="126"/>
      <c r="B2" s="62"/>
      <c r="H2" s="62"/>
      <c r="I2" s="62"/>
      <c r="J2" s="108"/>
      <c r="K2" s="62"/>
      <c r="L2" s="127"/>
    </row>
    <row r="3" spans="1:14" s="62" customFormat="1" ht="37.5" customHeight="1">
      <c r="A3" s="128"/>
      <c r="B3" s="122" t="s">
        <v>0</v>
      </c>
      <c r="C3" s="247" t="s">
        <v>92</v>
      </c>
      <c r="D3" s="247"/>
      <c r="E3" s="247"/>
      <c r="F3" s="247"/>
      <c r="G3" s="247"/>
      <c r="H3" s="247"/>
      <c r="I3" s="122" t="s">
        <v>1</v>
      </c>
      <c r="J3" s="248" t="s">
        <v>93</v>
      </c>
      <c r="K3" s="248"/>
      <c r="L3" s="129"/>
    </row>
    <row r="4" spans="1:14" s="62" customFormat="1" ht="44.25" customHeight="1">
      <c r="A4" s="128"/>
      <c r="B4" s="123" t="s">
        <v>25</v>
      </c>
      <c r="C4" s="260" t="s">
        <v>94</v>
      </c>
      <c r="D4" s="261"/>
      <c r="E4" s="261"/>
      <c r="F4" s="261"/>
      <c r="G4" s="261"/>
      <c r="H4" s="262"/>
      <c r="I4" s="122" t="s">
        <v>59</v>
      </c>
      <c r="J4" s="250" t="s">
        <v>95</v>
      </c>
      <c r="K4" s="250"/>
      <c r="L4" s="129"/>
    </row>
    <row r="5" spans="1:14" s="62" customFormat="1" ht="37.5" customHeight="1">
      <c r="A5" s="128"/>
      <c r="B5" s="122"/>
      <c r="C5" s="263"/>
      <c r="D5" s="264"/>
      <c r="E5" s="264"/>
      <c r="F5" s="264"/>
      <c r="G5" s="264"/>
      <c r="H5" s="265"/>
      <c r="I5" s="122" t="s">
        <v>60</v>
      </c>
      <c r="J5" s="248" t="s">
        <v>97</v>
      </c>
      <c r="K5" s="248"/>
      <c r="L5" s="129"/>
      <c r="M5" s="100"/>
      <c r="N5" s="100"/>
    </row>
    <row r="6" spans="1:14" s="62" customFormat="1" ht="37.5" customHeight="1">
      <c r="A6" s="128"/>
      <c r="B6" s="122" t="s">
        <v>62</v>
      </c>
      <c r="C6" s="249" t="s">
        <v>96</v>
      </c>
      <c r="D6" s="249"/>
      <c r="E6" s="249"/>
      <c r="F6" s="249"/>
      <c r="G6" s="249"/>
      <c r="H6" s="249"/>
      <c r="I6" s="122" t="s">
        <v>61</v>
      </c>
      <c r="J6" s="248" t="s">
        <v>98</v>
      </c>
      <c r="K6" s="248"/>
      <c r="L6" s="129"/>
      <c r="M6" s="100"/>
      <c r="N6" s="100"/>
    </row>
    <row r="7" spans="1:14" s="61" customFormat="1" ht="81.75" customHeight="1">
      <c r="A7" s="119"/>
      <c r="B7" s="251" t="s">
        <v>99</v>
      </c>
      <c r="C7" s="252"/>
      <c r="D7" s="252"/>
      <c r="E7" s="252"/>
      <c r="F7" s="252"/>
      <c r="G7" s="252"/>
      <c r="H7" s="252"/>
      <c r="I7" s="252"/>
      <c r="J7" s="252"/>
      <c r="K7" s="253"/>
      <c r="L7" s="129"/>
      <c r="M7" s="100"/>
      <c r="N7" s="100"/>
    </row>
    <row r="8" spans="1:14" s="61" customFormat="1" ht="29.25" customHeight="1">
      <c r="A8" s="119"/>
      <c r="B8" s="254" t="s">
        <v>20</v>
      </c>
      <c r="C8" s="255"/>
      <c r="D8" s="255"/>
      <c r="E8" s="255"/>
      <c r="F8" s="255"/>
      <c r="G8" s="255"/>
      <c r="H8" s="255"/>
      <c r="I8" s="255"/>
      <c r="J8" s="255"/>
      <c r="K8" s="256"/>
      <c r="L8" s="120"/>
      <c r="M8" s="111"/>
      <c r="N8" s="111"/>
    </row>
    <row r="9" spans="1:14" s="61" customFormat="1" ht="29.25" customHeight="1">
      <c r="A9" s="119"/>
      <c r="B9" s="112" t="s">
        <v>2</v>
      </c>
      <c r="C9" s="257" t="s">
        <v>3</v>
      </c>
      <c r="D9" s="258"/>
      <c r="E9" s="258"/>
      <c r="F9" s="258"/>
      <c r="G9" s="258"/>
      <c r="H9" s="259"/>
      <c r="I9" s="113" t="s">
        <v>4</v>
      </c>
      <c r="J9" s="112" t="s">
        <v>5</v>
      </c>
      <c r="K9" s="114" t="s">
        <v>6</v>
      </c>
      <c r="L9" s="120"/>
      <c r="M9" s="121"/>
      <c r="N9" s="121"/>
    </row>
    <row r="10" spans="1:14" s="62" customFormat="1" ht="29.25" hidden="1" customHeight="1">
      <c r="A10" s="128"/>
      <c r="B10" s="115" t="s">
        <v>7</v>
      </c>
      <c r="C10" s="244" t="s">
        <v>8</v>
      </c>
      <c r="D10" s="245"/>
      <c r="E10" s="245"/>
      <c r="F10" s="245"/>
      <c r="G10" s="245"/>
      <c r="H10" s="246"/>
      <c r="I10" s="117" t="s">
        <v>9</v>
      </c>
      <c r="J10" s="116" t="s">
        <v>10</v>
      </c>
      <c r="K10" s="118" t="s">
        <v>11</v>
      </c>
      <c r="L10" s="129"/>
      <c r="M10" s="111"/>
      <c r="N10" s="111"/>
    </row>
    <row r="11" spans="1:14" s="62" customFormat="1" ht="39" customHeight="1">
      <c r="A11" s="128"/>
      <c r="B11" s="135" t="s">
        <v>100</v>
      </c>
      <c r="C11" s="236" t="s">
        <v>101</v>
      </c>
      <c r="D11" s="237"/>
      <c r="E11" s="237"/>
      <c r="F11" s="237"/>
      <c r="G11" s="237"/>
      <c r="H11" s="238"/>
      <c r="I11" s="133" t="s">
        <v>102</v>
      </c>
      <c r="J11" s="132" t="s">
        <v>103</v>
      </c>
      <c r="K11" s="134" t="s">
        <v>104</v>
      </c>
      <c r="L11" s="129"/>
      <c r="M11" s="111"/>
      <c r="N11" s="111"/>
    </row>
    <row r="12" spans="1:14" s="62" customFormat="1" ht="39" customHeight="1">
      <c r="A12" s="128"/>
      <c r="B12" s="135"/>
      <c r="C12" s="266"/>
      <c r="D12" s="267"/>
      <c r="E12" s="267"/>
      <c r="F12" s="267"/>
      <c r="G12" s="267"/>
      <c r="H12" s="268"/>
      <c r="I12" s="133"/>
      <c r="J12" s="132"/>
      <c r="K12" s="134"/>
      <c r="L12" s="129"/>
      <c r="M12" s="111"/>
      <c r="N12" s="111"/>
    </row>
    <row r="13" spans="1:14" s="62" customFormat="1" ht="39" customHeight="1">
      <c r="A13" s="128"/>
      <c r="B13" s="136"/>
      <c r="C13" s="239"/>
      <c r="D13" s="239"/>
      <c r="E13" s="239"/>
      <c r="F13" s="239"/>
      <c r="G13" s="239"/>
      <c r="H13" s="239"/>
      <c r="I13" s="133"/>
      <c r="J13" s="132"/>
      <c r="K13" s="134"/>
      <c r="L13" s="129"/>
      <c r="M13" s="111"/>
      <c r="N13" s="111"/>
    </row>
    <row r="14" spans="1:14" s="62" customFormat="1" ht="39" customHeight="1" thickBot="1">
      <c r="A14" s="128"/>
      <c r="B14" s="240" t="str">
        <f>BAHTTEXT(K14)</f>
        <v>ศูนย์บาทถ้วน</v>
      </c>
      <c r="C14" s="241"/>
      <c r="D14" s="241"/>
      <c r="E14" s="241"/>
      <c r="F14" s="241"/>
      <c r="G14" s="241"/>
      <c r="H14" s="241"/>
      <c r="I14" s="242" t="s">
        <v>58</v>
      </c>
      <c r="J14" s="243"/>
      <c r="K14" s="137"/>
      <c r="L14" s="129"/>
      <c r="M14" s="111"/>
      <c r="N14" s="111"/>
    </row>
    <row r="15" spans="1:14" s="100" customFormat="1" ht="14.25" customHeight="1" thickTop="1">
      <c r="A15" s="145"/>
      <c r="B15" s="146"/>
      <c r="C15" s="146"/>
      <c r="D15" s="146"/>
      <c r="E15" s="146"/>
      <c r="F15" s="146"/>
      <c r="G15" s="146"/>
      <c r="H15" s="146"/>
      <c r="I15" s="147"/>
      <c r="J15" s="147"/>
      <c r="K15" s="148"/>
      <c r="L15" s="149"/>
      <c r="M15" s="150"/>
      <c r="N15" s="150"/>
    </row>
    <row r="16" spans="1:14" s="63" customFormat="1" ht="21" customHeight="1">
      <c r="A16" s="269" t="s">
        <v>105</v>
      </c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1"/>
      <c r="M16" s="43"/>
      <c r="N16" s="43"/>
    </row>
    <row r="17" spans="1:14" s="63" customFormat="1" ht="32.25" customHeight="1">
      <c r="A17" s="231" t="s">
        <v>63</v>
      </c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3"/>
      <c r="M17" s="101"/>
      <c r="N17" s="101"/>
    </row>
    <row r="18" spans="1:14" s="63" customFormat="1" ht="32.25" customHeight="1">
      <c r="A18" s="231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3"/>
      <c r="M18" s="101"/>
      <c r="N18" s="101"/>
    </row>
    <row r="19" spans="1:14" s="63" customFormat="1" ht="32.25" customHeight="1">
      <c r="A19" s="231" t="s">
        <v>65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3"/>
      <c r="M19" s="101"/>
      <c r="N19" s="101"/>
    </row>
    <row r="20" spans="1:14" s="109" customFormat="1" ht="32.25" customHeight="1">
      <c r="A20" s="130"/>
      <c r="B20" s="234" t="s">
        <v>66</v>
      </c>
      <c r="C20" s="232"/>
      <c r="D20" s="232"/>
      <c r="E20" s="232"/>
      <c r="F20" s="232"/>
      <c r="G20" s="232"/>
      <c r="H20" s="232"/>
      <c r="I20" s="232"/>
      <c r="J20" s="232"/>
      <c r="K20" s="232"/>
      <c r="L20" s="144"/>
      <c r="M20" s="110"/>
      <c r="N20" s="110"/>
    </row>
    <row r="21" spans="1:14" s="109" customFormat="1" ht="32.25" customHeight="1">
      <c r="A21" s="130"/>
      <c r="B21" s="154" t="s">
        <v>67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4"/>
      <c r="M21" s="110"/>
      <c r="N21" s="110"/>
    </row>
    <row r="22" spans="1:14" s="109" customFormat="1" ht="32.25" customHeight="1">
      <c r="A22" s="130"/>
      <c r="B22" s="155" t="s">
        <v>68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44"/>
      <c r="M22" s="110"/>
      <c r="N22" s="110"/>
    </row>
    <row r="23" spans="1:14" ht="123" customHeight="1">
      <c r="A23" s="153"/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131"/>
      <c r="M23" s="152"/>
      <c r="N23" s="152"/>
    </row>
    <row r="24" spans="1:14" s="101" customFormat="1" ht="0.75" customHeight="1">
      <c r="B24" s="138"/>
      <c r="C24" s="139"/>
      <c r="D24" s="138"/>
      <c r="E24" s="138"/>
      <c r="F24" s="140"/>
      <c r="G24" s="141"/>
      <c r="H24" s="141"/>
      <c r="I24" s="141"/>
      <c r="J24" s="141"/>
      <c r="K24" s="142"/>
      <c r="M24" s="43"/>
      <c r="N24" s="43"/>
    </row>
    <row r="25" spans="1:14">
      <c r="G25" s="102"/>
      <c r="I25" s="65"/>
    </row>
    <row r="26" spans="1:14" ht="57" customHeight="1"/>
    <row r="27" spans="1:14" ht="21" customHeight="1">
      <c r="K27" s="103"/>
    </row>
    <row r="28" spans="1:14">
      <c r="K28" s="103" t="s">
        <v>106</v>
      </c>
    </row>
    <row r="29" spans="1:14" ht="24.75" customHeight="1"/>
  </sheetData>
  <mergeCells count="22">
    <mergeCell ref="C10:H10"/>
    <mergeCell ref="C3:H3"/>
    <mergeCell ref="J3:K3"/>
    <mergeCell ref="J4:K4"/>
    <mergeCell ref="J5:K5"/>
    <mergeCell ref="C6:H6"/>
    <mergeCell ref="J6:K6"/>
    <mergeCell ref="B7:K7"/>
    <mergeCell ref="B8:K8"/>
    <mergeCell ref="C9:H9"/>
    <mergeCell ref="C4:H5"/>
    <mergeCell ref="C11:H11"/>
    <mergeCell ref="C13:H13"/>
    <mergeCell ref="B14:H14"/>
    <mergeCell ref="I14:J14"/>
    <mergeCell ref="A16:L16"/>
    <mergeCell ref="C12:H12"/>
    <mergeCell ref="A17:L17"/>
    <mergeCell ref="B20:K20"/>
    <mergeCell ref="B23:K23"/>
    <mergeCell ref="A18:L18"/>
    <mergeCell ref="A19:L19"/>
  </mergeCells>
  <pageMargins left="0.24" right="0.15748031496063" top="0.17" bottom="0.23622047244094499" header="0.27" footer="0.17"/>
  <pageSetup paperSize="9"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4CE1-7F7F-43AB-BEB2-459B35DCB474}">
  <dimension ref="A1:E15"/>
  <sheetViews>
    <sheetView workbookViewId="0">
      <selection activeCell="J15" sqref="J15"/>
    </sheetView>
  </sheetViews>
  <sheetFormatPr defaultRowHeight="21.75"/>
  <cols>
    <col min="1" max="1" width="15.7109375" customWidth="1"/>
    <col min="2" max="2" width="68" customWidth="1"/>
    <col min="3" max="3" width="9.42578125" customWidth="1"/>
    <col min="4" max="4" width="8.5703125" style="158" customWidth="1"/>
    <col min="5" max="5" width="29" customWidth="1"/>
  </cols>
  <sheetData>
    <row r="1" spans="1:5">
      <c r="A1" s="156" t="s">
        <v>69</v>
      </c>
      <c r="B1" s="173" t="s">
        <v>84</v>
      </c>
      <c r="C1" s="157"/>
    </row>
    <row r="2" spans="1:5">
      <c r="A2" s="156" t="s">
        <v>70</v>
      </c>
      <c r="B2" s="173" t="s">
        <v>85</v>
      </c>
      <c r="C2" s="157"/>
    </row>
    <row r="3" spans="1:5">
      <c r="A3" s="159" t="s">
        <v>71</v>
      </c>
      <c r="B3" s="160" t="s">
        <v>91</v>
      </c>
      <c r="C3" s="157"/>
    </row>
    <row r="4" spans="1:5">
      <c r="B4" s="158"/>
    </row>
    <row r="5" spans="1:5" s="171" customFormat="1" ht="43.5">
      <c r="A5" s="161" t="s">
        <v>72</v>
      </c>
      <c r="B5" s="161" t="s">
        <v>73</v>
      </c>
      <c r="C5" s="161" t="s">
        <v>74</v>
      </c>
      <c r="D5" s="161"/>
      <c r="E5" s="162" t="s">
        <v>75</v>
      </c>
    </row>
    <row r="6" spans="1:5">
      <c r="A6" s="163">
        <v>1</v>
      </c>
      <c r="B6" s="164" t="s">
        <v>76</v>
      </c>
      <c r="C6" s="163">
        <v>1</v>
      </c>
      <c r="D6" s="165" t="s">
        <v>77</v>
      </c>
      <c r="E6" s="166" t="s">
        <v>78</v>
      </c>
    </row>
    <row r="7" spans="1:5">
      <c r="A7" s="163">
        <v>2</v>
      </c>
      <c r="B7" s="174" t="s">
        <v>86</v>
      </c>
      <c r="C7" s="163">
        <v>2</v>
      </c>
      <c r="D7" s="165" t="s">
        <v>77</v>
      </c>
      <c r="E7" s="167" t="s">
        <v>79</v>
      </c>
    </row>
    <row r="8" spans="1:5">
      <c r="A8" s="163">
        <v>3</v>
      </c>
      <c r="B8" s="174" t="s">
        <v>87</v>
      </c>
      <c r="C8" s="163">
        <v>3</v>
      </c>
      <c r="D8" s="165" t="s">
        <v>77</v>
      </c>
      <c r="E8" s="167" t="s">
        <v>79</v>
      </c>
    </row>
    <row r="9" spans="1:5">
      <c r="A9" s="163">
        <v>4</v>
      </c>
      <c r="B9" s="174" t="s">
        <v>88</v>
      </c>
      <c r="C9" s="163">
        <v>1</v>
      </c>
      <c r="D9" s="165" t="s">
        <v>77</v>
      </c>
      <c r="E9" s="167" t="s">
        <v>79</v>
      </c>
    </row>
    <row r="10" spans="1:5">
      <c r="A10" s="163">
        <v>5</v>
      </c>
      <c r="B10" s="174" t="s">
        <v>89</v>
      </c>
      <c r="C10" s="163">
        <v>7</v>
      </c>
      <c r="D10" s="165" t="s">
        <v>77</v>
      </c>
      <c r="E10" s="167" t="s">
        <v>79</v>
      </c>
    </row>
    <row r="11" spans="1:5">
      <c r="A11" s="163">
        <v>6</v>
      </c>
      <c r="B11" s="174" t="s">
        <v>90</v>
      </c>
      <c r="C11" s="163">
        <v>3</v>
      </c>
      <c r="D11" s="165" t="s">
        <v>77</v>
      </c>
      <c r="E11" s="167" t="s">
        <v>79</v>
      </c>
    </row>
    <row r="12" spans="1:5">
      <c r="A12" s="163">
        <v>7</v>
      </c>
      <c r="B12" s="174" t="s">
        <v>80</v>
      </c>
      <c r="C12" s="163">
        <v>3</v>
      </c>
      <c r="D12" s="165" t="s">
        <v>77</v>
      </c>
      <c r="E12" s="167" t="s">
        <v>79</v>
      </c>
    </row>
    <row r="13" spans="1:5">
      <c r="A13" s="163">
        <v>8</v>
      </c>
      <c r="B13" s="164" t="s">
        <v>81</v>
      </c>
      <c r="C13" s="163">
        <v>5</v>
      </c>
      <c r="D13" s="165" t="s">
        <v>77</v>
      </c>
      <c r="E13" s="166" t="s">
        <v>82</v>
      </c>
    </row>
    <row r="14" spans="1:5">
      <c r="A14" s="168"/>
      <c r="B14" s="169" t="s">
        <v>83</v>
      </c>
      <c r="C14" s="169">
        <f>SUM(C6:C13)</f>
        <v>25</v>
      </c>
      <c r="D14" s="170" t="s">
        <v>77</v>
      </c>
      <c r="E14" s="168"/>
    </row>
    <row r="15" spans="1:5">
      <c r="C15" s="1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เสนอราคาต่อปี5-6(Visa1Work1)</vt:lpstr>
      <vt:lpstr>เสนอราคาต่อปี5-6(VisaWorkปีที่2</vt:lpstr>
      <vt:lpstr>คนเมียวดี  ( เขียว-แดง)</vt:lpstr>
      <vt:lpstr>ขั้นตอน</vt:lpstr>
      <vt:lpstr>'คนเมียวดี  ( เขียว-แดง)'!Print_Area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pc-tfg091@thefirstgoodmangroup.com</cp:lastModifiedBy>
  <cp:lastPrinted>2026-10-17T06:20:28Z</cp:lastPrinted>
  <dcterms:created xsi:type="dcterms:W3CDTF">1999-09-13T06:57:00Z</dcterms:created>
  <dcterms:modified xsi:type="dcterms:W3CDTF">2026-10-22T01:13:04Z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4CF7AB5926A24F3C81B85659A3EAA36C</vt:lpwstr>
  </property>
  <property fmtid="{D5CDD505-2E9C-101B-9397-08002B2CF9AE}" pid="3" name="KSOProductBuildVer">
    <vt:lpwstr>1054-11.2.0.11537</vt:lpwstr>
  </property>
</Properties>
</file>