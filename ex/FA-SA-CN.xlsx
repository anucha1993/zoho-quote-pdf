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Y:\ประสานงานฝ่ายขาย_TFG\MAC-5 &amp; CRM\ใบเสนอราคา\ตรวจสอบ 26-4-26\"/>
    </mc:Choice>
  </mc:AlternateContent>
  <xr:revisionPtr revIDLastSave="0" documentId="13_ncr:1_{B472F189-0C6D-4537-BC08-96C521F32D59}" xr6:coauthVersionLast="47" xr6:coauthVersionMax="47" xr10:uidLastSave="{00000000-0000-0000-0000-000000000000}"/>
  <bookViews>
    <workbookView xWindow="-120" yWindow="-120" windowWidth="29040" windowHeight="15720" tabRatio="713" xr2:uid="{00000000-000D-0000-FFFF-FFFF00000000}"/>
  </bookViews>
  <sheets>
    <sheet name="พม่า-คนใหม่ (ฟรี 5 คนขึ้นไป)" sheetId="122" r:id="rId1"/>
    <sheet name="Sheet1" sheetId="142" r:id="rId2"/>
    <sheet name="เสนอราคาต่อปี5-6(Visa1Work1)" sheetId="26" state="hidden" r:id="rId3"/>
    <sheet name="เสนอราคาต่อปี5-6(VisaWorkปีที่2" sheetId="27" state="hidden" r:id="rId4"/>
  </sheets>
  <definedNames>
    <definedName name="_xlnm.Print_Area" localSheetId="0">'พม่า-คนใหม่ (ฟรี 5 คนขึ้นไป)'!$A$1:$K$86</definedName>
    <definedName name="_xlnm.Print_Area">#REF!</definedName>
    <definedName name="_xlnm.Print_Titles" localSheetId="0">'พม่า-คนใหม่ (ฟรี 5 คนขึ้นไป)'!$1:$13</definedName>
    <definedName name="quotation_form" localSheetId="0">#REF!</definedName>
    <definedName name="quotation_form">#REF!</definedName>
    <definedName name="quotationThefisrt">#REF!</definedName>
  </definedNames>
  <calcPr calcId="191029"/>
</workbook>
</file>

<file path=xl/calcChain.xml><?xml version="1.0" encoding="utf-8"?>
<calcChain xmlns="http://schemas.openxmlformats.org/spreadsheetml/2006/main">
  <c r="B28" i="142" l="1"/>
  <c r="B20" i="122"/>
  <c r="I14" i="27" l="1"/>
  <c r="A13" i="27" s="1"/>
  <c r="I14" i="26"/>
  <c r="A13" i="26" s="1"/>
  <c r="J18" i="122"/>
</calcChain>
</file>

<file path=xl/sharedStrings.xml><?xml version="1.0" encoding="utf-8"?>
<sst xmlns="http://schemas.openxmlformats.org/spreadsheetml/2006/main" count="211" uniqueCount="164">
  <si>
    <t>เรียน</t>
  </si>
  <si>
    <t>ใบเสนอราคาเลขที่ :</t>
  </si>
  <si>
    <t>วันที่เสนอราคา :</t>
  </si>
  <si>
    <t>ฝ่ายขายผู้เสนอราคา :</t>
  </si>
  <si>
    <t>ติดต่อ</t>
  </si>
  <si>
    <t>เบอร์โทรศัพท์ :</t>
  </si>
  <si>
    <t>ลำดับที่</t>
  </si>
  <si>
    <t>รายการ</t>
  </si>
  <si>
    <t>ราคา</t>
  </si>
  <si>
    <t>จำนวน</t>
  </si>
  <si>
    <t>จำนวนเงิน</t>
  </si>
  <si>
    <t>ITEM</t>
  </si>
  <si>
    <t>DESCRIPTION</t>
  </si>
  <si>
    <t>Price</t>
  </si>
  <si>
    <t>Quantity</t>
  </si>
  <si>
    <t>Amount</t>
  </si>
  <si>
    <t>ภาษีมูลค่าเพิ่ม/Vat 7% ของค่าบริการ</t>
  </si>
  <si>
    <t>ยอดรวม.Vat</t>
  </si>
  <si>
    <t>บริษัทนำคนต่างด้าวมาทำงานในประเทศ เดอะ เฟิร์ส กูด แมน กรุ๊ป จำกัด ใคร่ขอขอบพระคุณที่ไว้วางใจเรียกใช้บริการของเราด้วยดีเสมอมา</t>
  </si>
  <si>
    <t>หลังจาก ลูกค้า/ผู้มีอำนาจลงนามได้ลงนามอนุมัติในเอกสารฉบับนี้แล้ว รบกวน ส่งแฟกซ์ หรือ อีเมล์ กลับมายัง</t>
  </si>
  <si>
    <t>บริษัทนำคนต่างด้าวมาทำงานในประเทศ เดอะ เฟิร์ส กูด แมน กรุ๊ป จำกัด ด้วย เพื่อดำเนินการเอกสารในขั้นตอนต่อไป</t>
  </si>
  <si>
    <t>ยอดรวม</t>
  </si>
  <si>
    <t>ใบเสนอราคาเลขที่</t>
  </si>
  <si>
    <t>วันที่</t>
  </si>
  <si>
    <t>ผู้เสนอ</t>
  </si>
  <si>
    <t>ผู้ติดต่อ</t>
  </si>
  <si>
    <t>โทรศัพท์</t>
  </si>
  <si>
    <t>ยกเลิก</t>
  </si>
  <si>
    <t>ใบเสนอราคา ต่อวีซ่าและใบอนุญาตทำงาน กลุ่มคนต่างด้าวตามระบบ MOU ครบวาระการจ้างงาน 4 ปี (ต่อปี 5-6)  ต่อวีซ่าปีที่ 1</t>
  </si>
  <si>
    <t>บริษัทนำคนต่างด้าวมาทำงานในประเทศ เดอะ เฟิร์ส กูด แมน กรุ๊ป จำกัด  ใคร่ขอเสนอราคา และ เงื่อนไข ตามรายละเอียด นี้.-</t>
  </si>
  <si>
    <t>ค่าบริการ ค่าธรรมเนียมและค่าใช้จ่ายจัดทำเอกสาร (Documents &amp; Service  fee)</t>
  </si>
  <si>
    <r>
      <rPr>
        <i/>
        <sz val="14"/>
        <color indexed="8"/>
        <rFont val="TH SarabunPSK"/>
        <family val="2"/>
      </rPr>
      <t xml:space="preserve">   *** </t>
    </r>
    <r>
      <rPr>
        <i/>
        <u/>
        <sz val="14"/>
        <color indexed="8"/>
        <rFont val="TH SarabunPSK"/>
        <family val="2"/>
      </rPr>
      <t>หมายเหตุ</t>
    </r>
    <r>
      <rPr>
        <i/>
        <sz val="14"/>
        <color indexed="8"/>
        <rFont val="TH SarabunPSK"/>
        <family val="2"/>
      </rPr>
      <t xml:space="preserve"> :  ราคาที่เสนอข้างต้น ยังไม่รวมค่าวางหลักประกันที่สำนักงานจัดหางานของนายจ้างในการจ้างคนต่างด้าว คนละ 1,000 บาท ต่อคน  </t>
    </r>
  </si>
  <si>
    <t xml:space="preserve">  หากนายจ้าง/ผู้ว่าจ้าง ชำระแล้วตอน ต่ออายุปีที่ 3-4 หรือ วางครบ 100,000 บาท แล้วตามกฎหมาย ไม่ต้องชำระเพิ่มเติมอีก ทั้งนี้ต้องมีเอกสารแนบเพื่อยืนยันให้ชัดเจน</t>
  </si>
  <si>
    <t xml:space="preserve">  ซึ่งค่าวางหลักประกันสามารถทำเรื่องขอเงินคืนได้ที่สำนักงานจัดหางานเมื่อคนต่างด้าวทำครบสัญญาและนายจ้างปฏิบัติตามกฎหมาย</t>
  </si>
  <si>
    <r>
      <rPr>
        <b/>
        <sz val="16"/>
        <color indexed="8"/>
        <rFont val="TH SarabunPSK"/>
        <family val="2"/>
      </rPr>
      <t xml:space="preserve">   </t>
    </r>
    <r>
      <rPr>
        <b/>
        <u/>
        <sz val="16"/>
        <color indexed="8"/>
        <rFont val="TH SarabunPSK"/>
        <family val="2"/>
      </rPr>
      <t>สิทธิประโยชน์ และเงื่อนไขการชำระค่าบริการ ค่าใช้จ่าย</t>
    </r>
  </si>
  <si>
    <r>
      <rPr>
        <sz val="14"/>
        <color indexed="8"/>
        <rFont val="TH SarabunPSK"/>
        <family val="2"/>
      </rPr>
      <t xml:space="preserve">  1. อัตรานี้รวมค่าจัดทำเอกสารและค่าธรรมเนียมในการยื่นขอต่ออายุวีซ่า(NON-LA) 1 ปี แรก (</t>
    </r>
    <r>
      <rPr>
        <i/>
        <sz val="14"/>
        <color indexed="8"/>
        <rFont val="TH SarabunPSK"/>
        <family val="2"/>
      </rPr>
      <t>ทั้งนี้ จะไม่เกินอายุของหนังสือเดินทาง</t>
    </r>
    <r>
      <rPr>
        <sz val="14"/>
        <color indexed="8"/>
        <rFont val="TH SarabunPSK"/>
        <family val="2"/>
      </rPr>
      <t>)</t>
    </r>
  </si>
  <si>
    <t xml:space="preserve">       หมายเหตุ : ตามระเบียบของกระทรวงมหาดไทย อนุญาตให้ตรวจลงตราวีซ่าคราวละหนึ่งปีเท่านั้น</t>
  </si>
  <si>
    <t xml:space="preserve">  2. อัตรานี้รวมค่าจัดทำเอกสาร ใบรับคำขอ และค่าธรรมเนียมใบอนุญาตทำงาน 1 ปี และการทำบัตรประจำตัวบุคคลซึ่งไม่มีสัญชาติไทย(บัตรชมพู) แล้ว</t>
  </si>
  <si>
    <t xml:space="preserve">  3. อัตรานี้รวมค่าตรวจสุขภาพคนต่างด้าว ค่ารถ (รับ-ส่ง) เดินทางเพื่อไปตรวจสุขภาพ (แบบไม่ประกันสุขภาพ)</t>
  </si>
  <si>
    <t xml:space="preserve">  4. เงื่อนไขการชำระเงิน  : </t>
  </si>
  <si>
    <t>1. งวดแรก    จำนวน    4,000 (สี่พันบาท)  ชำระ ณ. วันที่ทำสัญญาตกลงดำเนินการกับทาง บนจ. เดอะ เฟิร์ส กูด แมน กรุ๊ป จำกัด</t>
  </si>
  <si>
    <t>2. งวดที่สอง  จำนวนที่เหลือ ชำระ ณ. วันที่กระบวนการนำเข้าคนต่างด้าวแล้วเสร็จ และนำส่งให้กับทางนายจ้าง</t>
  </si>
  <si>
    <t xml:space="preserve">  5. อัตราค่าบริการตามใบเสนอราคานี้ ยืนยันราคา 30 วัน นับจากวันที่เสนอราคา</t>
  </si>
  <si>
    <t xml:space="preserve">  6. อัตราข้างต้นไม่รวมค่าธรรมเนียมรายงานตัว 90 วัน(ถ้ามี) การรายงานตัวเกิดขึ้นระหว่างการนำเอกสารมาต่ออายุ (จะตรวจสอบและแจ้งให้ทราบก่อน)</t>
  </si>
  <si>
    <r>
      <rPr>
        <sz val="14"/>
        <color theme="1"/>
        <rFont val="TH SarabunPSK"/>
        <family val="2"/>
      </rPr>
      <t xml:space="preserve">  7.</t>
    </r>
    <r>
      <rPr>
        <sz val="14"/>
        <color rgb="FFFF0000"/>
        <rFont val="TH SarabunPSK"/>
        <family val="2"/>
      </rPr>
      <t xml:space="preserve"> อัตราข้างต้นไม่รวมค่าธรรมเนียมการขยายหรือทำหนังสือเดินทางใหม่ และค่าธรรมเนียมหนังสือรับรองบุคคล กับย้ายตราวีซ่า (จากเล่มเดิมสู่เล่มใหม่)</t>
    </r>
  </si>
  <si>
    <t xml:space="preserve">  8. ระยะเวลาการดำเนินการประมาณ  5-7  วันทำการ ในการต่ออายุวีซ่าและยื่นคำขอต่อใบอนุญาตทำงาน</t>
  </si>
  <si>
    <t xml:space="preserve">  9. ระยะเวลาการทำบัตรประจำตัวบุคคลซึ่งไม่มีสัญชาติไทย(บัตรชมพู) ขึ้นอยู่กับการจัดลำดับคิวของ กรมการปกครอง</t>
  </si>
  <si>
    <t xml:space="preserve"> 10. บริษัทฯ ขอสงวนสิทธิ์เก็บค่าบริการ ค่าธรรมเนียม และค่าใช้จ่าย กรณียกเลิกไม่ดำเนินการต่อไม่ว่ากรณีใดๆ หลังจากการยื่นเอกสารแล้ว เต็มจำนวน</t>
  </si>
  <si>
    <t xml:space="preserve"> 11. บริษัทนำคนต่างด้าวมาทำงานในประเทศ เดอะ เฟิร์ส กูด แมน กรุ๊ป จำกัด จะดำเนินการยื่นเอกสารและจัดส่งเอกสารที่สมบูรณ์ให้นายจ้างทุกขั้นตอน</t>
  </si>
  <si>
    <t xml:space="preserve"> 12. บริษัทไม่ขอรับผิดชอบในความบกพร่องของเอกสารคนต่างด้าว จนเป็นเหตุให้ไม่สามารถดำเนินการต่ออายุได้ตามขั้นตอนปกติ</t>
  </si>
  <si>
    <t xml:space="preserve"> Update October 30, 2020  by James</t>
  </si>
  <si>
    <t>บริษัท จีเอฟพีที นิชิเร (ประเทศไทย) จำกัด</t>
  </si>
  <si>
    <t>CTN 2021-0110</t>
  </si>
  <si>
    <t xml:space="preserve">เลขที่ 77 หมู่ที่ 4 ตำบลห้างสูง อำเภอหนองใหญ่ จังหวัดชลบุรี </t>
  </si>
  <si>
    <t>02 มีนาคม 2564</t>
  </si>
  <si>
    <t>พี่อ้อ</t>
  </si>
  <si>
    <t xml:space="preserve">คุณออโต้ หัวหน้าฝ่ายบุคคล </t>
  </si>
  <si>
    <t>089-4475359</t>
  </si>
  <si>
    <t>ใบเสนอราคา ต่อวีซ่าและใบอนุญาตทำงาน กลุ่มคนต่างด้าวตามระบบ MOU ครบวาระการจ้างงาน 4 ปี (ต่อปี 5-6)  ต่อวีซ่าปีที่ 2</t>
  </si>
  <si>
    <t>ค่าบริการ ค่าธรรมเนียม และ ค่าใช้จ่ายจัดทำเอกสาร (Documents &amp; Service  fee)</t>
  </si>
  <si>
    <r>
      <rPr>
        <sz val="14"/>
        <color indexed="8"/>
        <rFont val="TH SarabunPSK"/>
        <family val="2"/>
      </rPr>
      <t xml:space="preserve">  1. อัตรานี้รวมค่าจัดทำเอกสารและค่าธรรมเนียมในการยื่นขอต่ออายุวีซ่า(NON-LA) 1 ปี ครั้งที่สอง (</t>
    </r>
    <r>
      <rPr>
        <i/>
        <sz val="14"/>
        <color indexed="8"/>
        <rFont val="TH SarabunPSK"/>
        <family val="2"/>
      </rPr>
      <t>ทั้งนี้ จะไม่เกินอายุของหนังสือเดินทาง</t>
    </r>
    <r>
      <rPr>
        <sz val="14"/>
        <color indexed="8"/>
        <rFont val="TH SarabunPSK"/>
        <family val="2"/>
      </rPr>
      <t>)</t>
    </r>
  </si>
  <si>
    <t xml:space="preserve">  4. เงื่อนไขการชำระเงิน : </t>
  </si>
  <si>
    <t>1. ชำระ ณ. วันที่กระบวนการนำเข้าคนต่างด้าวแล้วเสร็จ และนำส่งให้กับทางนายจ้าง</t>
  </si>
  <si>
    <t xml:space="preserve">    </t>
  </si>
  <si>
    <t>สิทธิประโยชน์ที่นายจ้างจะได้รับ จากบริการของเรา</t>
  </si>
  <si>
    <t xml:space="preserve">      </t>
  </si>
  <si>
    <t xml:space="preserve">       </t>
  </si>
  <si>
    <t>เงื่อนไขการชำระ  และการดำเนินการ</t>
  </si>
  <si>
    <t>อัตราค่าบริการตามใบเสนอราคานี้ ยืนยันราคา 30 วัน นับจากวันที่เสนอราคา</t>
  </si>
  <si>
    <t>ข้าพเจ้าตกลงสั่งซื้อตามรายการและยอมรับในเงื่อนไขที่เสนอมาทั้งหมด</t>
  </si>
  <si>
    <t xml:space="preserve">     </t>
  </si>
  <si>
    <t>รวมถึงโปรแกรมเก็บข้อมูลแรงงานต่างด้าว  (LABOUR PROGRAM ) แจ้งเตือนเอกสารแรงงานต่างด้าวที่จะหมดอายุก่อนล่วงหน้า</t>
  </si>
  <si>
    <t xml:space="preserve">มีระบบติดตามใบงาน  TRACKING MOU THE FIRST โดยนายจ้างสามารถสแกน QR Code ตรวจสอบสถานะการดำเนินการเอกสารในแต่ละขั้นตอน </t>
  </si>
  <si>
    <t>致</t>
  </si>
  <si>
    <t>ที่อยู่</t>
  </si>
  <si>
    <t>联系</t>
  </si>
  <si>
    <t>地址</t>
  </si>
  <si>
    <t>联系人</t>
  </si>
  <si>
    <t>报价单编号:</t>
  </si>
  <si>
    <t>报价日期:</t>
  </si>
  <si>
    <t>报价人:</t>
  </si>
  <si>
    <t>联系方式:</t>
  </si>
  <si>
    <t>序号</t>
  </si>
  <si>
    <t>详细资料</t>
  </si>
  <si>
    <t>价格</t>
  </si>
  <si>
    <t>人数</t>
  </si>
  <si>
    <t>金额</t>
  </si>
  <si>
    <t>零泰铢</t>
  </si>
  <si>
    <t>总合</t>
  </si>
  <si>
    <t>付款条件和办件流程</t>
  </si>
  <si>
    <t>泰国第一人力资源集团有限公司感谢您一如既往对我们服务的信任</t>
  </si>
  <si>
    <r>
      <t xml:space="preserve">บริษัทนำคนต่างด้าวมาทำงานในประเทศ เดอะ เฟิร์ส กูด แมน กรุ๊ป จำกัด  ใคร่ขอเสนอราคา และ เงื่อนไข ตามรายละเอียด นี้
</t>
    </r>
    <r>
      <rPr>
        <sz val="12"/>
        <color rgb="FF000000"/>
        <rFont val="KaiTi"/>
        <family val="3"/>
      </rPr>
      <t>泰国第一人力资源集团有限公司报价以及服务条件如下</t>
    </r>
    <r>
      <rPr>
        <sz val="12"/>
        <color rgb="FF000000"/>
        <rFont val="Angsana New"/>
        <family val="3"/>
      </rPr>
      <t>:</t>
    </r>
    <phoneticPr fontId="49" type="noConversion"/>
  </si>
  <si>
    <t>服务费的增值税  7%</t>
    <phoneticPr fontId="49" type="noConversion"/>
  </si>
  <si>
    <t>雇主将从本协议项下的服务中享有如下权益：</t>
    <phoneticPr fontId="49" type="noConversion"/>
  </si>
  <si>
    <t>雇主无需自行提交外国劳工的入境文件，第一人力资源公司将为您处理所有步骤，减轻雇主在文件提交上的负担。您只需</t>
    <phoneticPr fontId="49" type="noConversion"/>
  </si>
  <si>
    <t>等待外国劳工准备好上班即可，并确保所有外国劳工的身份证件合法有效，无需支付任何隐性费用或进行非法支付。</t>
    <phoneticPr fontId="49" type="noConversion"/>
  </si>
  <si>
    <t>我们将提供翻译人员（语言协调员），帮助雇主进行翻译、培训和与外国劳工的沟通，以全力支持雇主在特定工作现场的高效运作。</t>
    <phoneticPr fontId="49" type="noConversion"/>
  </si>
  <si>
    <t>根据MOU引进的劳工在前两年内不能更换雇主，必须与引进他们的雇主保持一致。这确保了工厂的生产和工作系统稳定且连续。</t>
    <phoneticPr fontId="49" type="noConversion"/>
  </si>
  <si>
    <t>泰国第一人力资源公司提供外籍劳工身份证件续期服务，包括90天报到、第三和第四年的签证及工作许可证续签，</t>
    <phoneticPr fontId="49" type="noConversion"/>
  </si>
  <si>
    <t>以及四年期满的相关手续。相关费用由外籍劳工承担，或根据外籍劳工与雇主之间的协议处理。</t>
    <phoneticPr fontId="49" type="noConversion"/>
  </si>
  <si>
    <t>提供专业服务的标准，拥有超过18年的工作经验，获得ISO 9001:2015、ISO 14001:2015和ISO 27001:2022认证。</t>
    <phoneticPr fontId="49" type="noConversion"/>
  </si>
  <si>
    <t>我们有一套工作进度跟踪系统“TRACKING MOU THE FIRST”，雇主可以扫描二维码查看每个步骤的文件处理状态。</t>
    <phoneticPr fontId="49" type="noConversion"/>
  </si>
  <si>
    <t>此外，我们还有一个外国劳工信息管理程序（LABOUR PROGRAM），能够提前通知即将到期的外国劳工文件。</t>
    <phoneticPr fontId="49" type="noConversion"/>
  </si>
  <si>
    <t>泰国第一人力资源集团有限公司再处理下一步文件</t>
    <phoneticPr fontId="49" type="noConversion"/>
  </si>
  <si>
    <t>本人接受所有提议的条款和条件</t>
    <phoneticPr fontId="49" type="noConversion"/>
  </si>
  <si>
    <r>
      <t xml:space="preserve"> ค่าบริการนำเข้าคนต่างด้าว ในระบบ MOU  /  </t>
    </r>
    <r>
      <rPr>
        <sz val="12"/>
        <color theme="1"/>
        <rFont val="Angsana New"/>
        <family val="1"/>
      </rPr>
      <t xml:space="preserve">MOU </t>
    </r>
    <r>
      <rPr>
        <sz val="12"/>
        <color theme="1"/>
        <rFont val="KaiTi"/>
        <family val="3"/>
      </rPr>
      <t>外籍劳务引进服务费</t>
    </r>
  </si>
  <si>
    <r>
      <t xml:space="preserve">ฟรี  </t>
    </r>
    <r>
      <rPr>
        <sz val="12"/>
        <color theme="1"/>
        <rFont val="KaiTi"/>
        <family val="3"/>
        <charset val="134"/>
      </rPr>
      <t>免费</t>
    </r>
  </si>
  <si>
    <r>
      <t xml:space="preserve">服务费以本报价为准，从报价之日起 </t>
    </r>
    <r>
      <rPr>
        <sz val="12"/>
        <color rgb="FF000000"/>
        <rFont val="Angsana New"/>
        <family val="1"/>
      </rPr>
      <t xml:space="preserve">30 </t>
    </r>
    <r>
      <rPr>
        <sz val="12"/>
        <color indexed="8"/>
        <rFont val="KaiTi"/>
        <family val="3"/>
      </rPr>
      <t>天内确认价格。</t>
    </r>
  </si>
  <si>
    <r>
      <t xml:space="preserve"> </t>
    </r>
    <r>
      <rPr>
        <sz val="12"/>
        <color rgb="FF000000"/>
        <rFont val="KaiTi"/>
        <family val="3"/>
      </rPr>
      <t>客户/授权签字人签署并批准本文件后，请将传真或电子邮件发回至</t>
    </r>
  </si>
  <si>
    <r>
      <rPr>
        <b/>
        <sz val="20"/>
        <color theme="1"/>
        <rFont val="Angsana New"/>
        <family val="1"/>
      </rPr>
      <t xml:space="preserve">   ใบเสนอราคา การนำเข้าคนต่างด้าวในระบบ MOU (คนใหม่) สัญชาติ   เมียนมา (Myanmar)</t>
    </r>
    <r>
      <rPr>
        <b/>
        <sz val="16"/>
        <color theme="1"/>
        <rFont val="Angsana New"/>
        <family val="1"/>
      </rPr>
      <t xml:space="preserve">
</t>
    </r>
    <r>
      <rPr>
        <sz val="12"/>
        <color theme="1"/>
        <rFont val="KaiTi"/>
        <family val="3"/>
        <charset val="134"/>
      </rPr>
      <t>通过MOU 引进外籍劳务报价单（新人） 国籍缅甸</t>
    </r>
  </si>
  <si>
    <r>
      <t>เงื่อนไขการชำระเงิน :</t>
    </r>
    <r>
      <rPr>
        <b/>
        <sz val="16"/>
        <color theme="1"/>
        <rFont val="Angsana New"/>
        <family val="1"/>
      </rPr>
      <t xml:space="preserve"> </t>
    </r>
    <r>
      <rPr>
        <sz val="16"/>
        <color theme="1"/>
        <rFont val="Angsana New"/>
        <family val="1"/>
      </rPr>
      <t>ฟรีค่าบริการนำเข้าคนต่างด้าว ในระบบ MOU</t>
    </r>
  </si>
  <si>
    <r>
      <rPr>
        <sz val="16"/>
        <color theme="1"/>
        <rFont val="Angsana New"/>
        <family val="1"/>
      </rPr>
      <t>MOU</t>
    </r>
    <r>
      <rPr>
        <sz val="12"/>
        <color theme="1"/>
        <rFont val="KaiTi"/>
        <family val="3"/>
      </rPr>
      <t>外籍劳务引进服务费为免费</t>
    </r>
  </si>
  <si>
    <t>付款条件      ：</t>
  </si>
  <si>
    <t xml:space="preserve">ระยะเวลาการดำเนินการนำเข้า ประมาณ 90-120 วันทำการ (นับจากแบบคำร้องนำคนต่างด้าวมาทำงาน ( Demand ) ได้รับอนุมัติจากกรมการจัดหางาน (ดินแดง) ) </t>
  </si>
  <si>
    <r>
      <t xml:space="preserve">引进外籍劳务文件处理时间约为 90-120 </t>
    </r>
    <r>
      <rPr>
        <sz val="12"/>
        <color theme="1"/>
        <rFont val="KaiTi"/>
        <family val="3"/>
      </rPr>
      <t>天工作日（从需求请求获得地区就业办公室批准之日起 -曼谷邻铃县)。</t>
    </r>
  </si>
  <si>
    <t>บริษัทให้บริการดำเนินการยื่นเอกสารเพื่อนำเข้าคนต่างด้าวแทนนายจ้าง โดยรับผิดชอบจัดเตรียมเอกสารและประสานงานกับหน่วยงานที่เกี่ยวข้องในทุกขั้นตอนจนแล้วเสร็จ เพื่อช่วยลดภาระและความยุ่งยากด้านเอกสารของนายจ้าง</t>
  </si>
  <si>
    <t>นายจ้างจะได้รับแรงงานที่มีความพร้อมในการเข้าปฏิบัติงาน พร้อมเอกสารประจำตัวที่ถูกต้องครบถ้วนตามที่กฎหมายกำหนด</t>
  </si>
  <si>
    <t>บริษัทดำเนินการคัดสรรคนต่างด้าวตามคุณสมบัติที่นายจ้างกำหนด พร้อมทั้งชี้แจงรายละเอียดลักษณะงานตามแบบสอบถามการจ้างงานที่นายจ้างระบุ เพื่อให้สอดคล้องกับความต้องการของสถานประกอบการ</t>
  </si>
  <si>
    <t>我们将根据雇主的要求筛选符合条件的外籍劳工，并按照雇主提供的表格填写相关信息，同时详细说明工作内容。</t>
  </si>
  <si>
    <t>คนต่างด้าวมีเอกสารประจำตัวครบถ้วนและถูกต้องตามกฎหมาย ได้แก่ หนังสือเดินทาง (Passport), วีซ่าเข้าประเทศ(Migrant NON-LA Visa) อายุ 2 ปี และใบอนุญาตทำงาน (Work Permit) อายุ 2 ปี</t>
  </si>
  <si>
    <t>ผ่านการตรวจสุขภาพตามรายการ 6 โรคต้องห้ามตามที่กระทรวงสาธารณสุขกำหนด และมีประกันสุขภาพจากบริษัทประกันภัยเอกชน คุ้มครองกรณีเจ็บป่วยและอุบัติเหตุ ระยะเวลา 6 เดือน</t>
  </si>
  <si>
    <t>ในวันเดินทางเข้าประเทศไทย บริษัทจัดหาพาหนะสำหรับส่งคนต่างด้าวจากด่านชายแดนถึงสถานประกอบการ พร้อมดำเนินการแจ้งที่พักอาศัยภายใน 24 ชั่วโมง และแจ้งการเข้าทำงานภายใน 15 วันตามที่กฎหมายกำหนด</t>
  </si>
  <si>
    <t>外籍劳工须持有完整且合法的身份证件，包括护照、两年期的入境签证（Migrant NON-LA Visa）以及两年期的工作许可证（Work Permit）。</t>
  </si>
  <si>
    <t>劳工须通过泰国卫生部规定的六类禁止性疾病的健康检查，并由私营保险公司提供健康保险，保障疾病及意外，保险期限为自入境之日起6个月。</t>
  </si>
  <si>
    <t>在入境泰国时，本公司将安排交通工具将外籍劳工从边境口岸送至用工单位，并在24小时内申报住宿信息，同时依法在15天内办理入职申报手续。</t>
  </si>
  <si>
    <t>此外，本公司将向相关政府部门申报名单，并将相关文件副本及外籍劳工的证件资料提交给雇主。</t>
  </si>
  <si>
    <t>บริษัทจัดให้มีล่าม (ผู้ประสานงานด้านภาษา) เพื่อสนับสนุนการสื่อสาร การแปล และการถ่ายทอดงานระหว่างนายจ้างและคนต่างด้าว เพื่อให้การปฏิบัติงานเป็นไปอย่างมีประสิทธิภาพ</t>
  </si>
  <si>
    <t>ทั้งนี้ ระยะเวลาและการจัดสรรล่ามเป็นไปตามที่บริษัทพิจารณาเห็นสมควรตามความเหมาะสมของหน้างาน</t>
  </si>
  <si>
    <t>แรงงานที่นำเข้าภายใต้ระบบ MOU ไม่สามารถเปลี่ยนนายจ้างได้ภายในระยะเวลา 2 ปีแรก โดยต้องปฏิบัติงานกับนายจ้างรายเดิมตามเงื่อนไขที่กฎหมายกำหนด</t>
  </si>
  <si>
    <t>ช่วยส่งเสริมความมั่นคงและความต่อเนื่องของระบบการผลิตและการดำเนินงานของสถานประกอบการ</t>
  </si>
  <si>
    <t>บริษัทให้บริการดำเนินการต่ออายุเอกสารประจำตัวคนต่างด้าว ได้แก่ รายงานตัว 90 วัน การต่อวีซ่า และใบอนุญาตทำงาน (ปีที่ 3–4) รวมถึงการดำเนินการครบวาระ 4 ปี</t>
  </si>
  <si>
    <t>ทั้งนี้ ค่าบริการและค่าธรรมเนียมเป็นความรับผิดชอบของคนต่างด้าว หรือเป็นไปตามข้อตกลงระหว่างนายจ้างและคนต่างด้าว</t>
  </si>
  <si>
    <t>บริษัทให้บริการดูแลและให้คำปรึกษาด้านการจ้างงาน พร้อมรับประกันคนต่างด้าวตลอดระยะเวลาตามสัญญาจ้างงาน</t>
  </si>
  <si>
    <t>我们提供招聘方面的咨询和支持，确保在整个雇佣合同期间，所引进的外籍劳工得到妥善照顾和保障。</t>
  </si>
  <si>
    <t>มีมาตรฐานในการให้บริการ อย่างมืออาชีพ ด้วยประสบการณ์ทำงานกว่า 20 ปี ได้รับการรับรองมาตรฐาน  ระบบ   ISO 9001:2015 , ISO 14001:2015 , ISO 27001:2022</t>
  </si>
  <si>
    <t>FA-SA-02-01-CN</t>
  </si>
  <si>
    <t>Doc Group : NM</t>
  </si>
  <si>
    <t>ประเภทใบงาน : การนำเข้าคนต่างด้าวในระบบ MOU (คนใหม่) สัญชาติ   เมียนมา (Myanmar)</t>
  </si>
  <si>
    <t>ขั้นตอน</t>
  </si>
  <si>
    <t>จำนวนวัน</t>
  </si>
  <si>
    <t xml:space="preserve">เปิดใบงาน </t>
  </si>
  <si>
    <t xml:space="preserve">ส่งฟอร์มดีมานด์ / สัญญาการนำเข้า ให้ลูกค้า ลงนาม </t>
  </si>
  <si>
    <t>ติดตามเอกสารกลับจากนายจ้าง</t>
  </si>
  <si>
    <t xml:space="preserve">ยื่นดีมานด์นำเข้าแรงงาน MOU ผ่านระบบ E-Workpermit </t>
  </si>
  <si>
    <t>ติดตามดีมานด์ในระบบ E - Workpermit</t>
  </si>
  <si>
    <t>เอเจนซี่ประเทศต้นทางยื่นดีมานด์ขอนำเข้าแรงงานต่อกรมการจัดหางานเมียนมา (กรุงเนปิดอร์) ผ่านระบบ MWIS (Pilot Testing)</t>
  </si>
  <si>
    <t>คัดเลือกแรงงาน</t>
  </si>
  <si>
    <t>นายจ้างลงนามเอกสาร Commitment  ที่ ทูตแรงงานพม่า ประจำประเทศไทย  / ทูตตรวจโรงงาน</t>
  </si>
  <si>
    <t>ดีมานด์อนุมัติจากทกรมการจัดหางาน @(กรุงเนปิดอร์) ( Cabinet )</t>
  </si>
  <si>
    <t>ยื่นเซ็นสัญญาจ้าง ที่ ประเทศต้นทาง</t>
  </si>
  <si>
    <t>เซ็นสัญญาจ้างงาน / จัดทำบัญชีรายชื่อ Namelist</t>
  </si>
  <si>
    <t>เอเจนซี่ต้นทาง ส่งบัญชีรายชื่อคนต่างด้าว  ( Name list ) ให้เดอะเฟิร์สฯ ดำเนินการต่อ</t>
  </si>
  <si>
    <t>ยื่น Namelist ยื่นรับรองที่ทูตแรงงานพม่า (ไทย)</t>
  </si>
  <si>
    <t xml:space="preserve">ยื่นบัญชีรายชื่อ (Namelist) เพื่อชำระค่าใบอนุญาตทำงานแทนคนต่างด้าว ผ่านระบบ E-Workpermit   ( จ่าย 1900 ) </t>
  </si>
  <si>
    <t>กรมการจัดหางาน อนุมัติ  Calling Visa ผ่านระบบอนุญาตทำงานทำงานของคนต่างด้าว ผ่านระบบ E-Workpermit</t>
  </si>
  <si>
    <t xml:space="preserve">ยื่น Calling Visa ที่ทูตแรงงานพม่า ประจำประเทศไทย  เพื่อขออนุมัติในการออกด่าน  </t>
  </si>
  <si>
    <t xml:space="preserve">ยื่น Calling Visa ไปที่พม่า อบรมและทำบัตร OWIC พร้อมยื่นวีซ่า ณ สถานเอกอัคราชทูตไทย ณ กรุงย่างกุ้ง ขออนุมัติออกด่าน </t>
  </si>
  <si>
    <t>แรงงานเดินทางเข้าไทย/จัดส่งแรงงานให้นายจ้าง</t>
  </si>
  <si>
    <t>แจ้งที่พัก 24 ชั่วโมง</t>
  </si>
  <si>
    <t>ส่งมอบแรงงานแจ้งเข้าในระบบ E - Workpermit (แจ้งเข้าทำงาน มาตรา 13 )</t>
  </si>
  <si>
    <t xml:space="preserve">ติดตามใบตอบรับในระบบ E - Workpermit		</t>
  </si>
  <si>
    <t>คีย์ข้อมูลลงระบบ Labour</t>
  </si>
  <si>
    <t>กำหนดชำระค่าดำเนินการ</t>
  </si>
  <si>
    <t>รหัส ISO : FA-SA-02-01-CN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</si>
</sst>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07041E]d\ mmmm\ yyyy;@"/>
  </numFmts>
  <fonts count="85">
    <font>
      <sz val="14"/>
      <name val="CordiaUPC"/>
      <charset val="134"/>
    </font>
    <font>
      <sz val="11"/>
      <color theme="1"/>
      <name val="Calibri"/>
      <family val="2"/>
      <scheme val="minor"/>
    </font>
    <font>
      <b/>
      <sz val="16"/>
      <color indexed="8"/>
      <name val="TH SarabunPSK"/>
      <family val="2"/>
    </font>
    <font>
      <b/>
      <sz val="13"/>
      <color indexed="8"/>
      <name val="TH SarabunPSK"/>
      <family val="2"/>
    </font>
    <font>
      <b/>
      <sz val="14"/>
      <color indexed="8"/>
      <name val="TH SarabunPSK"/>
      <family val="2"/>
    </font>
    <font>
      <sz val="14"/>
      <color indexed="8"/>
      <name val="TH SarabunPSK"/>
      <family val="2"/>
    </font>
    <font>
      <sz val="16"/>
      <color indexed="8"/>
      <name val="TH SarabunPSK"/>
      <family val="2"/>
    </font>
    <font>
      <sz val="18"/>
      <color indexed="8"/>
      <name val="TH SarabunPSK"/>
      <family val="2"/>
    </font>
    <font>
      <b/>
      <sz val="18"/>
      <color indexed="8"/>
      <name val="TH SarabunPSK"/>
      <family val="2"/>
    </font>
    <font>
      <b/>
      <sz val="15"/>
      <color indexed="8"/>
      <name val="TH SarabunPSK"/>
      <family val="2"/>
    </font>
    <font>
      <b/>
      <sz val="18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i/>
      <sz val="16"/>
      <name val="TH SarabunPSK"/>
      <family val="2"/>
    </font>
    <font>
      <b/>
      <u/>
      <sz val="16"/>
      <color indexed="8"/>
      <name val="TH SarabunPSK"/>
      <family val="2"/>
    </font>
    <font>
      <i/>
      <sz val="14"/>
      <color indexed="8"/>
      <name val="TH SarabunPSK"/>
      <family val="2"/>
    </font>
    <font>
      <sz val="14"/>
      <color theme="1"/>
      <name val="TH SarabunPSK"/>
      <family val="2"/>
    </font>
    <font>
      <sz val="14"/>
      <name val="TH SarabunPSK"/>
      <family val="2"/>
    </font>
    <font>
      <sz val="15"/>
      <color indexed="8"/>
      <name val="TH SarabunPSK"/>
      <family val="2"/>
    </font>
    <font>
      <b/>
      <sz val="16"/>
      <color rgb="FFFF0000"/>
      <name val="TH SarabunPSK"/>
      <family val="2"/>
    </font>
    <font>
      <b/>
      <u/>
      <sz val="12"/>
      <name val="TH SarabunPSK"/>
      <family val="2"/>
    </font>
    <font>
      <b/>
      <sz val="13"/>
      <name val="TH SarabunPSK"/>
      <family val="2"/>
    </font>
    <font>
      <b/>
      <sz val="14"/>
      <name val="TH SarabunPSK"/>
      <family val="2"/>
    </font>
    <font>
      <sz val="14"/>
      <color indexed="58"/>
      <name val="TH SarabunPSK"/>
      <family val="2"/>
    </font>
    <font>
      <sz val="14"/>
      <color rgb="FFFF0000"/>
      <name val="TH SarabunPSK"/>
      <family val="2"/>
    </font>
    <font>
      <b/>
      <i/>
      <sz val="18"/>
      <name val="TH SarabunPSK"/>
      <family val="2"/>
    </font>
    <font>
      <sz val="18"/>
      <name val="TH SarabunPSK"/>
      <family val="2"/>
    </font>
    <font>
      <sz val="16"/>
      <color indexed="8"/>
      <name val="Angsana New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indexed="8"/>
      <name val="Angsana New"/>
      <family val="1"/>
    </font>
    <font>
      <sz val="15"/>
      <color indexed="8"/>
      <name val="Angsana New"/>
      <family val="1"/>
    </font>
    <font>
      <sz val="14"/>
      <color indexed="8"/>
      <name val="Angsana New"/>
      <family val="1"/>
    </font>
    <font>
      <sz val="16"/>
      <name val="Angsana New"/>
      <family val="1"/>
    </font>
    <font>
      <b/>
      <sz val="20"/>
      <color theme="1"/>
      <name val="Angsana New"/>
      <family val="1"/>
    </font>
    <font>
      <sz val="16"/>
      <color indexed="58"/>
      <name val="Angsana New"/>
      <family val="1"/>
    </font>
    <font>
      <sz val="14"/>
      <name val="CordiaUPC"/>
      <family val="2"/>
    </font>
    <font>
      <sz val="14"/>
      <name val="CordiaUPC"/>
      <family val="2"/>
    </font>
    <font>
      <i/>
      <u/>
      <sz val="14"/>
      <color indexed="8"/>
      <name val="TH SarabunPSK"/>
      <family val="2"/>
    </font>
    <font>
      <b/>
      <sz val="15"/>
      <color indexed="8"/>
      <name val="Angsana New"/>
      <family val="1"/>
    </font>
    <font>
      <b/>
      <sz val="18"/>
      <color indexed="8"/>
      <name val="Angsana New"/>
      <family val="1"/>
    </font>
    <font>
      <sz val="18"/>
      <color indexed="8"/>
      <name val="Angsana New"/>
      <family val="1"/>
    </font>
    <font>
      <sz val="18"/>
      <color theme="1"/>
      <name val="Angsana New"/>
      <family val="1"/>
    </font>
    <font>
      <sz val="18"/>
      <name val="Angsana New"/>
      <family val="1"/>
    </font>
    <font>
      <b/>
      <sz val="18"/>
      <name val="Angsana New"/>
      <family val="1"/>
    </font>
    <font>
      <b/>
      <i/>
      <sz val="18"/>
      <name val="Angsana New"/>
      <family val="1"/>
    </font>
    <font>
      <sz val="12"/>
      <color indexed="8"/>
      <name val="KaiTi"/>
      <family val="3"/>
    </font>
    <font>
      <sz val="14"/>
      <color indexed="8"/>
      <name val="KaiTi"/>
      <family val="3"/>
    </font>
    <font>
      <sz val="12"/>
      <color rgb="FF000000"/>
      <name val="KaiTi"/>
      <family val="3"/>
    </font>
    <font>
      <sz val="9"/>
      <name val="CordiaUPC"/>
      <family val="2"/>
    </font>
    <font>
      <sz val="12"/>
      <color rgb="FF000000"/>
      <name val="Angsana New"/>
      <family val="3"/>
    </font>
    <font>
      <sz val="16"/>
      <color rgb="FF000000"/>
      <name val="Angsana New"/>
      <family val="1"/>
    </font>
    <font>
      <u/>
      <sz val="16"/>
      <color indexed="8"/>
      <name val="Angsana New"/>
      <family val="1"/>
    </font>
    <font>
      <sz val="16"/>
      <color indexed="8"/>
      <name val="Angsana New"/>
      <family val="1"/>
      <charset val="222"/>
    </font>
    <font>
      <b/>
      <sz val="16"/>
      <color indexed="8"/>
      <name val="Angsana New"/>
      <family val="1"/>
      <charset val="222"/>
    </font>
    <font>
      <sz val="16"/>
      <color indexed="58"/>
      <name val="Angsana New"/>
      <family val="1"/>
      <charset val="222"/>
    </font>
    <font>
      <sz val="12"/>
      <color rgb="FF000000"/>
      <name val="Angsana New"/>
      <family val="1"/>
    </font>
    <font>
      <sz val="12"/>
      <color indexed="8"/>
      <name val="Angsana New"/>
      <family val="1"/>
      <charset val="222"/>
    </font>
    <font>
      <sz val="12"/>
      <color indexed="8"/>
      <name val="KaiTi"/>
      <family val="3"/>
      <charset val="222"/>
    </font>
    <font>
      <b/>
      <sz val="12"/>
      <name val="Angsana New"/>
      <family val="1"/>
      <charset val="222"/>
    </font>
    <font>
      <b/>
      <sz val="12"/>
      <color indexed="8"/>
      <name val="Angsana New"/>
      <family val="1"/>
      <charset val="222"/>
    </font>
    <font>
      <b/>
      <sz val="12"/>
      <color theme="1"/>
      <name val="Angsana New"/>
      <family val="1"/>
      <charset val="222"/>
    </font>
    <font>
      <b/>
      <sz val="12"/>
      <color rgb="FF000000"/>
      <name val="Angsana New"/>
      <family val="1"/>
      <charset val="222"/>
    </font>
    <font>
      <sz val="12"/>
      <color theme="1"/>
      <name val="KaiTi"/>
      <family val="3"/>
      <charset val="134"/>
    </font>
    <font>
      <sz val="12"/>
      <color theme="1"/>
      <name val="Angsana New"/>
      <family val="1"/>
    </font>
    <font>
      <sz val="12"/>
      <color theme="1"/>
      <name val="KaiTi"/>
      <family val="3"/>
    </font>
    <font>
      <b/>
      <i/>
      <sz val="12"/>
      <name val="KaiTi"/>
      <family val="3"/>
      <charset val="222"/>
    </font>
    <font>
      <b/>
      <i/>
      <sz val="12"/>
      <name val="Angsana New"/>
      <family val="1"/>
      <charset val="222"/>
    </font>
    <font>
      <b/>
      <sz val="12"/>
      <color indexed="8"/>
      <name val="KaiTi"/>
      <family val="3"/>
      <charset val="222"/>
    </font>
    <font>
      <b/>
      <u/>
      <sz val="12"/>
      <color indexed="8"/>
      <name val="KaiTi"/>
      <family val="3"/>
      <charset val="222"/>
    </font>
    <font>
      <b/>
      <u/>
      <sz val="12"/>
      <color indexed="8"/>
      <name val="Angsana New"/>
      <family val="1"/>
      <charset val="222"/>
    </font>
    <font>
      <sz val="12"/>
      <name val="Angsana New"/>
      <family val="1"/>
      <charset val="222"/>
    </font>
    <font>
      <u/>
      <sz val="12"/>
      <color indexed="8"/>
      <name val="KaiTi"/>
      <family val="3"/>
      <charset val="222"/>
    </font>
    <font>
      <sz val="12"/>
      <color theme="1"/>
      <name val="Angsana New"/>
      <family val="1"/>
      <charset val="222"/>
    </font>
    <font>
      <sz val="12"/>
      <color theme="1"/>
      <name val="KaiTi"/>
      <family val="3"/>
      <charset val="222"/>
    </font>
    <font>
      <sz val="12"/>
      <color indexed="58"/>
      <name val="Angsana New"/>
      <family val="1"/>
      <charset val="222"/>
    </font>
    <font>
      <sz val="12"/>
      <color rgb="FF000000"/>
      <name val="KaiTi"/>
      <family val="3"/>
      <charset val="222"/>
    </font>
    <font>
      <b/>
      <sz val="12"/>
      <color rgb="FF000000"/>
      <name val="KaiTi"/>
      <family val="3"/>
      <charset val="222"/>
    </font>
    <font>
      <sz val="15"/>
      <color rgb="FF000000"/>
      <name val="Angsana New"/>
      <family val="1"/>
    </font>
    <font>
      <sz val="10"/>
      <color rgb="FF000000"/>
      <name val="KaiTi"/>
      <family val="3"/>
    </font>
    <font>
      <u/>
      <sz val="16"/>
      <color indexed="8"/>
      <name val="Angsana New"/>
      <family val="1"/>
      <charset val="222"/>
    </font>
    <font>
      <u/>
      <sz val="16"/>
      <color indexed="8"/>
      <name val="KaiTi"/>
      <family val="3"/>
      <charset val="222"/>
    </font>
    <font>
      <sz val="18"/>
      <name val="Angsana New"/>
      <family val="1"/>
      <charset val="222"/>
    </font>
    <font>
      <sz val="18"/>
      <color indexed="8"/>
      <name val="Angsana New"/>
      <family val="1"/>
      <charset val="222"/>
    </font>
    <font>
      <sz val="14"/>
      <color rgb="FFFF0000"/>
      <name val="CordiaUP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FEAB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164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" fillId="0" borderId="0"/>
  </cellStyleXfs>
  <cellXfs count="325">
    <xf numFmtId="0" fontId="0" fillId="0" borderId="0" xfId="0"/>
    <xf numFmtId="0" fontId="2" fillId="0" borderId="0" xfId="7" applyFont="1"/>
    <xf numFmtId="0" fontId="2" fillId="0" borderId="0" xfId="7" applyFont="1" applyAlignment="1">
      <alignment vertical="center"/>
    </xf>
    <xf numFmtId="0" fontId="3" fillId="0" borderId="0" xfId="7" applyFont="1" applyAlignment="1">
      <alignment horizontal="center" vertical="top"/>
    </xf>
    <xf numFmtId="0" fontId="4" fillId="0" borderId="0" xfId="7" applyFont="1" applyAlignment="1">
      <alignment vertical="center"/>
    </xf>
    <xf numFmtId="0" fontId="5" fillId="0" borderId="0" xfId="7" applyFont="1"/>
    <xf numFmtId="0" fontId="6" fillId="0" borderId="0" xfId="7" applyFont="1"/>
    <xf numFmtId="0" fontId="6" fillId="0" borderId="0" xfId="7" applyFont="1" applyAlignment="1">
      <alignment horizontal="center"/>
    </xf>
    <xf numFmtId="0" fontId="2" fillId="0" borderId="1" xfId="7" applyFont="1" applyBorder="1"/>
    <xf numFmtId="0" fontId="7" fillId="0" borderId="2" xfId="7" applyFont="1" applyBorder="1"/>
    <xf numFmtId="0" fontId="2" fillId="0" borderId="2" xfId="7" applyFont="1" applyBorder="1"/>
    <xf numFmtId="0" fontId="2" fillId="0" borderId="2" xfId="7" applyFont="1" applyBorder="1" applyAlignment="1">
      <alignment vertical="top"/>
    </xf>
    <xf numFmtId="0" fontId="2" fillId="0" borderId="2" xfId="7" applyFont="1" applyBorder="1" applyAlignment="1">
      <alignment horizontal="center" vertical="top"/>
    </xf>
    <xf numFmtId="0" fontId="8" fillId="2" borderId="3" xfId="7" applyFont="1" applyFill="1" applyBorder="1"/>
    <xf numFmtId="0" fontId="7" fillId="2" borderId="0" xfId="7" applyFont="1" applyFill="1"/>
    <xf numFmtId="0" fontId="2" fillId="2" borderId="0" xfId="7" applyFont="1" applyFill="1"/>
    <xf numFmtId="0" fontId="2" fillId="2" borderId="0" xfId="7" applyFont="1" applyFill="1" applyAlignment="1">
      <alignment horizontal="center"/>
    </xf>
    <xf numFmtId="0" fontId="2" fillId="0" borderId="4" xfId="7" applyFont="1" applyBorder="1" applyAlignment="1">
      <alignment horizontal="center"/>
    </xf>
    <xf numFmtId="0" fontId="9" fillId="0" borderId="7" xfId="7" applyFont="1" applyBorder="1" applyAlignment="1">
      <alignment horizontal="center"/>
    </xf>
    <xf numFmtId="0" fontId="2" fillId="0" borderId="4" xfId="7" applyFont="1" applyBorder="1"/>
    <xf numFmtId="0" fontId="2" fillId="0" borderId="7" xfId="7" applyFont="1" applyBorder="1" applyAlignment="1">
      <alignment horizontal="center" vertical="center"/>
    </xf>
    <xf numFmtId="0" fontId="2" fillId="0" borderId="8" xfId="7" applyFont="1" applyBorder="1" applyAlignment="1">
      <alignment horizontal="left"/>
    </xf>
    <xf numFmtId="0" fontId="2" fillId="0" borderId="8" xfId="7" applyFont="1" applyBorder="1" applyAlignment="1">
      <alignment horizontal="center"/>
    </xf>
    <xf numFmtId="0" fontId="2" fillId="4" borderId="9" xfId="7" applyFont="1" applyFill="1" applyBorder="1" applyAlignment="1">
      <alignment horizontal="center" vertical="top"/>
    </xf>
    <xf numFmtId="0" fontId="2" fillId="4" borderId="0" xfId="7" applyFont="1" applyFill="1" applyAlignment="1">
      <alignment horizontal="center" vertical="top"/>
    </xf>
    <xf numFmtId="0" fontId="2" fillId="4" borderId="10" xfId="7" applyFont="1" applyFill="1" applyBorder="1" applyAlignment="1">
      <alignment horizontal="center" vertical="top"/>
    </xf>
    <xf numFmtId="0" fontId="2" fillId="4" borderId="11" xfId="7" applyFont="1" applyFill="1" applyBorder="1" applyAlignment="1">
      <alignment horizontal="center" vertical="top"/>
    </xf>
    <xf numFmtId="0" fontId="4" fillId="4" borderId="9" xfId="7" applyFont="1" applyFill="1" applyBorder="1" applyAlignment="1">
      <alignment horizontal="center" vertical="top"/>
    </xf>
    <xf numFmtId="0" fontId="4" fillId="4" borderId="0" xfId="7" applyFont="1" applyFill="1" applyAlignment="1">
      <alignment vertical="top"/>
    </xf>
    <xf numFmtId="0" fontId="4" fillId="4" borderId="0" xfId="7" applyFont="1" applyFill="1" applyAlignment="1">
      <alignment horizontal="center" vertical="top"/>
    </xf>
    <xf numFmtId="0" fontId="4" fillId="4" borderId="10" xfId="7" applyFont="1" applyFill="1" applyBorder="1" applyAlignment="1">
      <alignment horizontal="center" vertical="top"/>
    </xf>
    <xf numFmtId="0" fontId="4" fillId="4" borderId="11" xfId="7" applyFont="1" applyFill="1" applyBorder="1" applyAlignment="1">
      <alignment horizontal="center" vertical="top"/>
    </xf>
    <xf numFmtId="0" fontId="6" fillId="2" borderId="12" xfId="7" applyFont="1" applyFill="1" applyBorder="1" applyAlignment="1">
      <alignment horizontal="center"/>
    </xf>
    <xf numFmtId="4" fontId="6" fillId="2" borderId="13" xfId="7" applyNumberFormat="1" applyFont="1" applyFill="1" applyBorder="1" applyAlignment="1">
      <alignment horizontal="center" vertical="center"/>
    </xf>
    <xf numFmtId="3" fontId="6" fillId="2" borderId="13" xfId="7" applyNumberFormat="1" applyFont="1" applyFill="1" applyBorder="1" applyAlignment="1">
      <alignment horizontal="center" vertical="center"/>
    </xf>
    <xf numFmtId="0" fontId="14" fillId="4" borderId="3" xfId="7" applyFont="1" applyFill="1" applyBorder="1"/>
    <xf numFmtId="0" fontId="6" fillId="4" borderId="0" xfId="7" applyFont="1" applyFill="1"/>
    <xf numFmtId="0" fontId="6" fillId="4" borderId="0" xfId="7" applyFont="1" applyFill="1" applyAlignment="1">
      <alignment horizontal="center"/>
    </xf>
    <xf numFmtId="0" fontId="5" fillId="0" borderId="3" xfId="7" applyFont="1" applyBorder="1" applyAlignment="1">
      <alignment horizontal="left" vertical="top"/>
    </xf>
    <xf numFmtId="0" fontId="5" fillId="0" borderId="0" xfId="7" applyFont="1" applyAlignment="1">
      <alignment vertical="top"/>
    </xf>
    <xf numFmtId="0" fontId="5" fillId="0" borderId="0" xfId="7" applyFont="1" applyAlignment="1">
      <alignment horizontal="center" vertical="top"/>
    </xf>
    <xf numFmtId="0" fontId="15" fillId="0" borderId="3" xfId="7" applyFont="1" applyBorder="1" applyAlignment="1">
      <alignment horizontal="left" vertical="top"/>
    </xf>
    <xf numFmtId="0" fontId="16" fillId="0" borderId="3" xfId="7" applyFont="1" applyBorder="1" applyAlignment="1">
      <alignment horizontal="left" vertical="top"/>
    </xf>
    <xf numFmtId="0" fontId="16" fillId="0" borderId="0" xfId="7" applyFont="1" applyAlignment="1">
      <alignment vertical="top"/>
    </xf>
    <xf numFmtId="0" fontId="17" fillId="0" borderId="0" xfId="7" applyFont="1" applyAlignment="1">
      <alignment vertical="top"/>
    </xf>
    <xf numFmtId="0" fontId="17" fillId="0" borderId="0" xfId="7" applyFont="1" applyAlignment="1">
      <alignment horizontal="center" vertical="top"/>
    </xf>
    <xf numFmtId="0" fontId="16" fillId="0" borderId="0" xfId="7" applyFont="1"/>
    <xf numFmtId="0" fontId="17" fillId="0" borderId="0" xfId="7" applyFont="1"/>
    <xf numFmtId="0" fontId="17" fillId="0" borderId="0" xfId="7" applyFont="1" applyAlignment="1">
      <alignment horizontal="center"/>
    </xf>
    <xf numFmtId="0" fontId="5" fillId="2" borderId="3" xfId="7" applyFont="1" applyFill="1" applyBorder="1" applyAlignment="1">
      <alignment vertical="top"/>
    </xf>
    <xf numFmtId="0" fontId="5" fillId="0" borderId="0" xfId="7" applyFont="1" applyAlignment="1">
      <alignment horizontal="center"/>
    </xf>
    <xf numFmtId="0" fontId="2" fillId="0" borderId="23" xfId="7" applyFont="1" applyBorder="1" applyAlignment="1">
      <alignment vertical="top"/>
    </xf>
    <xf numFmtId="0" fontId="19" fillId="5" borderId="0" xfId="7" applyFont="1" applyFill="1"/>
    <xf numFmtId="0" fontId="2" fillId="5" borderId="0" xfId="7" applyFont="1" applyFill="1"/>
    <xf numFmtId="0" fontId="2" fillId="2" borderId="24" xfId="7" applyFont="1" applyFill="1" applyBorder="1" applyAlignment="1">
      <alignment horizontal="right"/>
    </xf>
    <xf numFmtId="0" fontId="2" fillId="0" borderId="0" xfId="7" applyFont="1" applyAlignment="1">
      <alignment wrapText="1"/>
    </xf>
    <xf numFmtId="0" fontId="20" fillId="0" borderId="0" xfId="7" applyFont="1" applyAlignment="1">
      <alignment vertical="center"/>
    </xf>
    <xf numFmtId="0" fontId="2" fillId="0" borderId="0" xfId="7" applyFont="1" applyAlignment="1">
      <alignment horizontal="left"/>
    </xf>
    <xf numFmtId="0" fontId="20" fillId="0" borderId="0" xfId="7" applyFont="1"/>
    <xf numFmtId="0" fontId="2" fillId="4" borderId="26" xfId="7" applyFont="1" applyFill="1" applyBorder="1" applyAlignment="1">
      <alignment horizontal="center" vertical="top"/>
    </xf>
    <xf numFmtId="0" fontId="21" fillId="0" borderId="0" xfId="7" applyFont="1" applyAlignment="1">
      <alignment horizontal="center" vertical="top"/>
    </xf>
    <xf numFmtId="0" fontId="4" fillId="4" borderId="27" xfId="7" applyFont="1" applyFill="1" applyBorder="1" applyAlignment="1">
      <alignment horizontal="center" vertical="top"/>
    </xf>
    <xf numFmtId="0" fontId="22" fillId="0" borderId="0" xfId="7" applyFont="1" applyAlignment="1">
      <alignment vertical="center"/>
    </xf>
    <xf numFmtId="4" fontId="6" fillId="2" borderId="28" xfId="7" applyNumberFormat="1" applyFont="1" applyFill="1" applyBorder="1" applyAlignment="1">
      <alignment horizontal="center" vertical="center"/>
    </xf>
    <xf numFmtId="0" fontId="11" fillId="0" borderId="0" xfId="7" applyFont="1"/>
    <xf numFmtId="4" fontId="11" fillId="0" borderId="29" xfId="4" applyNumberFormat="1" applyFont="1" applyBorder="1" applyAlignment="1">
      <alignment horizontal="center" vertical="center"/>
    </xf>
    <xf numFmtId="0" fontId="11" fillId="0" borderId="0" xfId="7" applyFont="1" applyAlignment="1">
      <alignment vertical="center"/>
    </xf>
    <xf numFmtId="0" fontId="6" fillId="4" borderId="24" xfId="7" applyFont="1" applyFill="1" applyBorder="1"/>
    <xf numFmtId="0" fontId="5" fillId="0" borderId="24" xfId="7" applyFont="1" applyBorder="1" applyAlignment="1">
      <alignment vertical="top"/>
    </xf>
    <xf numFmtId="0" fontId="16" fillId="0" borderId="24" xfId="7" applyFont="1" applyBorder="1" applyAlignment="1">
      <alignment vertical="top"/>
    </xf>
    <xf numFmtId="0" fontId="16" fillId="0" borderId="24" xfId="7" applyFont="1" applyBorder="1"/>
    <xf numFmtId="0" fontId="5" fillId="0" borderId="24" xfId="7" applyFont="1" applyBorder="1"/>
    <xf numFmtId="0" fontId="5" fillId="0" borderId="24" xfId="7" applyFont="1" applyBorder="1" applyAlignment="1">
      <alignment horizontal="center"/>
    </xf>
    <xf numFmtId="0" fontId="23" fillId="0" borderId="0" xfId="7" applyFont="1"/>
    <xf numFmtId="0" fontId="24" fillId="0" borderId="0" xfId="7" applyFont="1"/>
    <xf numFmtId="0" fontId="3" fillId="0" borderId="0" xfId="7" applyFont="1" applyAlignment="1">
      <alignment vertical="center"/>
    </xf>
    <xf numFmtId="0" fontId="6" fillId="0" borderId="0" xfId="7" applyFont="1" applyAlignment="1">
      <alignment vertical="top"/>
    </xf>
    <xf numFmtId="0" fontId="15" fillId="0" borderId="0" xfId="7" applyFont="1" applyAlignment="1">
      <alignment vertical="top"/>
    </xf>
    <xf numFmtId="0" fontId="5" fillId="0" borderId="0" xfId="7" applyFont="1" applyAlignment="1">
      <alignment vertical="center"/>
    </xf>
    <xf numFmtId="0" fontId="2" fillId="0" borderId="4" xfId="7" applyFont="1" applyBorder="1" applyAlignment="1">
      <alignment horizontal="center" vertical="center"/>
    </xf>
    <xf numFmtId="0" fontId="2" fillId="0" borderId="31" xfId="7" applyFont="1" applyBorder="1" applyAlignment="1">
      <alignment horizontal="left"/>
    </xf>
    <xf numFmtId="0" fontId="2" fillId="4" borderId="9" xfId="7" applyFont="1" applyFill="1" applyBorder="1" applyAlignment="1">
      <alignment horizontal="center" vertical="center"/>
    </xf>
    <xf numFmtId="0" fontId="2" fillId="4" borderId="0" xfId="7" applyFont="1" applyFill="1" applyAlignment="1">
      <alignment vertical="center"/>
    </xf>
    <xf numFmtId="0" fontId="2" fillId="4" borderId="0" xfId="7" applyFont="1" applyFill="1" applyAlignment="1">
      <alignment horizontal="center" vertical="center"/>
    </xf>
    <xf numFmtId="0" fontId="2" fillId="4" borderId="10" xfId="7" applyFont="1" applyFill="1" applyBorder="1" applyAlignment="1">
      <alignment horizontal="center" vertical="center"/>
    </xf>
    <xf numFmtId="0" fontId="2" fillId="4" borderId="11" xfId="7" applyFont="1" applyFill="1" applyBorder="1" applyAlignment="1">
      <alignment horizontal="center" vertical="center"/>
    </xf>
    <xf numFmtId="0" fontId="6" fillId="2" borderId="12" xfId="7" applyFont="1" applyFill="1" applyBorder="1" applyAlignment="1">
      <alignment horizontal="center" vertical="center"/>
    </xf>
    <xf numFmtId="0" fontId="15" fillId="0" borderId="0" xfId="7" applyFont="1" applyAlignment="1">
      <alignment horizontal="left" vertical="top"/>
    </xf>
    <xf numFmtId="0" fontId="2" fillId="0" borderId="24" xfId="7" applyFont="1" applyBorder="1" applyAlignment="1">
      <alignment horizontal="left"/>
    </xf>
    <xf numFmtId="0" fontId="2" fillId="4" borderId="26" xfId="7" applyFont="1" applyFill="1" applyBorder="1" applyAlignment="1">
      <alignment horizontal="center" vertical="center"/>
    </xf>
    <xf numFmtId="4" fontId="10" fillId="0" borderId="29" xfId="4" applyNumberFormat="1" applyFont="1" applyBorder="1" applyAlignment="1">
      <alignment horizontal="center" vertical="center"/>
    </xf>
    <xf numFmtId="0" fontId="15" fillId="0" borderId="24" xfId="7" applyFont="1" applyBorder="1" applyAlignment="1">
      <alignment horizontal="left" vertical="top"/>
    </xf>
    <xf numFmtId="0" fontId="23" fillId="0" borderId="0" xfId="7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27" fillId="0" borderId="15" xfId="0" applyFont="1" applyBorder="1" applyAlignment="1">
      <alignment vertical="center"/>
    </xf>
    <xf numFmtId="0" fontId="41" fillId="0" borderId="13" xfId="0" applyFont="1" applyBorder="1" applyAlignment="1">
      <alignment horizontal="center" vertical="center"/>
    </xf>
    <xf numFmtId="4" fontId="42" fillId="0" borderId="13" xfId="0" applyNumberFormat="1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5" xfId="0" applyFont="1" applyBorder="1" applyAlignment="1">
      <alignment horizontal="left" vertical="center"/>
    </xf>
    <xf numFmtId="4" fontId="43" fillId="0" borderId="13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vertical="center"/>
    </xf>
    <xf numFmtId="0" fontId="30" fillId="0" borderId="8" xfId="0" applyFont="1" applyBorder="1" applyAlignment="1">
      <alignment vertical="center"/>
    </xf>
    <xf numFmtId="0" fontId="30" fillId="0" borderId="13" xfId="0" applyFont="1" applyBorder="1" applyAlignment="1">
      <alignment horizontal="center" vertical="center"/>
    </xf>
    <xf numFmtId="0" fontId="29" fillId="0" borderId="6" xfId="7" applyFont="1" applyBorder="1" applyAlignment="1">
      <alignment vertical="center"/>
    </xf>
    <xf numFmtId="0" fontId="29" fillId="0" borderId="7" xfId="7" applyFont="1" applyBorder="1" applyAlignment="1">
      <alignment vertical="center"/>
    </xf>
    <xf numFmtId="0" fontId="29" fillId="0" borderId="5" xfId="7" applyFont="1" applyBorder="1" applyAlignment="1">
      <alignment vertical="center"/>
    </xf>
    <xf numFmtId="0" fontId="27" fillId="4" borderId="8" xfId="0" applyFont="1" applyFill="1" applyBorder="1" applyAlignment="1">
      <alignment vertical="center"/>
    </xf>
    <xf numFmtId="0" fontId="27" fillId="4" borderId="8" xfId="0" applyFont="1" applyFill="1" applyBorder="1" applyAlignment="1">
      <alignment horizontal="center" vertical="center"/>
    </xf>
    <xf numFmtId="0" fontId="47" fillId="4" borderId="33" xfId="0" applyFont="1" applyFill="1" applyBorder="1" applyAlignment="1">
      <alignment horizontal="center" vertical="center"/>
    </xf>
    <xf numFmtId="0" fontId="47" fillId="4" borderId="8" xfId="0" applyFont="1" applyFill="1" applyBorder="1" applyAlignment="1">
      <alignment horizontal="center" vertical="center"/>
    </xf>
    <xf numFmtId="0" fontId="47" fillId="4" borderId="34" xfId="0" applyFont="1" applyFill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0" fontId="40" fillId="0" borderId="15" xfId="0" applyFont="1" applyBorder="1" applyAlignment="1">
      <alignment horizontal="left" vertical="center"/>
    </xf>
    <xf numFmtId="4" fontId="43" fillId="0" borderId="36" xfId="0" applyNumberFormat="1" applyFont="1" applyBorder="1" applyAlignment="1">
      <alignment horizontal="center" vertical="center"/>
    </xf>
    <xf numFmtId="4" fontId="44" fillId="0" borderId="13" xfId="0" applyNumberFormat="1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3" xfId="0" applyFont="1" applyBorder="1" applyAlignment="1">
      <alignment horizontal="left" vertical="center"/>
    </xf>
    <xf numFmtId="0" fontId="51" fillId="0" borderId="7" xfId="0" applyFont="1" applyBorder="1" applyAlignment="1">
      <alignment vertical="center"/>
    </xf>
    <xf numFmtId="0" fontId="51" fillId="0" borderId="5" xfId="0" applyFont="1" applyBorder="1" applyAlignment="1">
      <alignment vertical="center" wrapText="1"/>
    </xf>
    <xf numFmtId="0" fontId="51" fillId="0" borderId="6" xfId="0" applyFont="1" applyBorder="1" applyAlignment="1">
      <alignment vertical="center" wrapText="1"/>
    </xf>
    <xf numFmtId="0" fontId="27" fillId="0" borderId="33" xfId="0" applyFont="1" applyBorder="1" applyAlignment="1">
      <alignment horizontal="left" vertical="center"/>
    </xf>
    <xf numFmtId="0" fontId="27" fillId="4" borderId="36" xfId="0" applyFont="1" applyFill="1" applyBorder="1" applyAlignment="1">
      <alignment horizontal="center" vertical="center"/>
    </xf>
    <xf numFmtId="0" fontId="27" fillId="4" borderId="15" xfId="0" applyFont="1" applyFill="1" applyBorder="1" applyAlignment="1">
      <alignment vertical="center"/>
    </xf>
    <xf numFmtId="0" fontId="27" fillId="4" borderId="15" xfId="0" applyFont="1" applyFill="1" applyBorder="1" applyAlignment="1">
      <alignment horizontal="center" vertical="center"/>
    </xf>
    <xf numFmtId="0" fontId="27" fillId="4" borderId="32" xfId="0" applyFont="1" applyFill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8" fillId="0" borderId="13" xfId="0" applyFont="1" applyBorder="1" applyAlignment="1">
      <alignment horizontal="center" vertical="center"/>
    </xf>
    <xf numFmtId="0" fontId="59" fillId="0" borderId="7" xfId="0" applyFont="1" applyBorder="1" applyAlignment="1">
      <alignment vertical="center"/>
    </xf>
    <xf numFmtId="0" fontId="59" fillId="0" borderId="5" xfId="0" applyFont="1" applyBorder="1" applyAlignment="1">
      <alignment horizontal="left" vertical="center"/>
    </xf>
    <xf numFmtId="0" fontId="59" fillId="0" borderId="6" xfId="0" applyFont="1" applyBorder="1" applyAlignment="1">
      <alignment horizontal="left" vertical="center"/>
    </xf>
    <xf numFmtId="0" fontId="58" fillId="0" borderId="13" xfId="0" applyFont="1" applyBorder="1" applyAlignment="1">
      <alignment horizontal="left" vertical="center"/>
    </xf>
    <xf numFmtId="0" fontId="57" fillId="0" borderId="0" xfId="0" applyFont="1" applyAlignment="1">
      <alignment vertical="center"/>
    </xf>
    <xf numFmtId="0" fontId="61" fillId="0" borderId="7" xfId="7" applyFont="1" applyBorder="1" applyAlignment="1">
      <alignment vertical="center"/>
    </xf>
    <xf numFmtId="0" fontId="61" fillId="0" borderId="5" xfId="7" applyFont="1" applyBorder="1" applyAlignment="1">
      <alignment vertical="center"/>
    </xf>
    <xf numFmtId="0" fontId="61" fillId="0" borderId="6" xfId="7" applyFont="1" applyBorder="1" applyAlignment="1">
      <alignment vertical="center"/>
    </xf>
    <xf numFmtId="0" fontId="62" fillId="0" borderId="7" xfId="0" applyFont="1" applyBorder="1" applyAlignment="1">
      <alignment vertical="center"/>
    </xf>
    <xf numFmtId="0" fontId="62" fillId="0" borderId="5" xfId="0" applyFont="1" applyBorder="1" applyAlignment="1">
      <alignment vertical="center" wrapText="1"/>
    </xf>
    <xf numFmtId="0" fontId="62" fillId="0" borderId="6" xfId="0" applyFont="1" applyBorder="1" applyAlignment="1">
      <alignment vertical="center" wrapText="1"/>
    </xf>
    <xf numFmtId="0" fontId="58" fillId="0" borderId="33" xfId="0" applyFont="1" applyBorder="1" applyAlignment="1">
      <alignment horizontal="left" vertical="center"/>
    </xf>
    <xf numFmtId="0" fontId="75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57" fillId="0" borderId="0" xfId="0" applyFont="1" applyAlignment="1">
      <alignment horizontal="center" vertical="center"/>
    </xf>
    <xf numFmtId="0" fontId="27" fillId="0" borderId="32" xfId="0" applyFont="1" applyBorder="1" applyAlignment="1">
      <alignment vertical="center"/>
    </xf>
    <xf numFmtId="0" fontId="30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vertical="center"/>
    </xf>
    <xf numFmtId="0" fontId="27" fillId="0" borderId="16" xfId="0" applyFont="1" applyBorder="1" applyAlignment="1">
      <alignment vertical="center"/>
    </xf>
    <xf numFmtId="0" fontId="27" fillId="0" borderId="11" xfId="0" applyFont="1" applyBorder="1" applyAlignment="1">
      <alignment vertical="center"/>
    </xf>
    <xf numFmtId="0" fontId="33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27" fillId="0" borderId="37" xfId="0" applyFont="1" applyBorder="1" applyAlignment="1">
      <alignment vertical="center"/>
    </xf>
    <xf numFmtId="0" fontId="57" fillId="0" borderId="11" xfId="0" applyFont="1" applyBorder="1" applyAlignment="1">
      <alignment vertical="center"/>
    </xf>
    <xf numFmtId="0" fontId="57" fillId="0" borderId="37" xfId="0" applyFont="1" applyBorder="1" applyAlignment="1">
      <alignment vertical="center"/>
    </xf>
    <xf numFmtId="4" fontId="28" fillId="0" borderId="37" xfId="0" applyNumberFormat="1" applyFont="1" applyBorder="1" applyAlignment="1">
      <alignment vertical="center"/>
    </xf>
    <xf numFmtId="0" fontId="52" fillId="0" borderId="0" xfId="0" applyFont="1" applyAlignment="1">
      <alignment vertical="center"/>
    </xf>
    <xf numFmtId="0" fontId="53" fillId="0" borderId="11" xfId="0" applyFont="1" applyBorder="1" applyAlignment="1">
      <alignment vertical="center"/>
    </xf>
    <xf numFmtId="0" fontId="54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37" xfId="0" applyFont="1" applyBorder="1" applyAlignment="1">
      <alignment vertical="center"/>
    </xf>
    <xf numFmtId="0" fontId="57" fillId="0" borderId="37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9" fillId="0" borderId="0" xfId="0" applyFont="1" applyAlignment="1">
      <alignment vertical="center"/>
    </xf>
    <xf numFmtId="0" fontId="58" fillId="0" borderId="0" xfId="0" applyFont="1" applyAlignment="1">
      <alignment horizontal="center" vertical="center"/>
    </xf>
    <xf numFmtId="0" fontId="58" fillId="0" borderId="37" xfId="0" applyFont="1" applyBorder="1" applyAlignment="1">
      <alignment horizontal="center" vertical="center"/>
    </xf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57" fillId="0" borderId="34" xfId="0" applyFont="1" applyBorder="1" applyAlignment="1">
      <alignment vertical="center"/>
    </xf>
    <xf numFmtId="0" fontId="71" fillId="0" borderId="8" xfId="0" applyFont="1" applyBorder="1" applyAlignment="1">
      <alignment horizontal="center" vertical="center"/>
    </xf>
    <xf numFmtId="0" fontId="58" fillId="0" borderId="8" xfId="0" applyFont="1" applyBorder="1" applyAlignment="1">
      <alignment vertical="center"/>
    </xf>
    <xf numFmtId="0" fontId="57" fillId="0" borderId="8" xfId="0" applyFont="1" applyBorder="1" applyAlignment="1">
      <alignment vertical="center"/>
    </xf>
    <xf numFmtId="0" fontId="57" fillId="0" borderId="8" xfId="0" applyFont="1" applyBorder="1" applyAlignment="1">
      <alignment horizontal="center" vertical="center"/>
    </xf>
    <xf numFmtId="0" fontId="57" fillId="0" borderId="35" xfId="0" applyFont="1" applyBorder="1" applyAlignment="1">
      <alignment vertical="center"/>
    </xf>
    <xf numFmtId="0" fontId="72" fillId="0" borderId="0" xfId="0" applyFont="1" applyAlignment="1">
      <alignment vertical="top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73" fillId="0" borderId="0" xfId="0" applyFont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73" fillId="0" borderId="0" xfId="0" applyFont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74" fillId="0" borderId="0" xfId="0" applyFont="1" applyAlignment="1">
      <alignment vertical="center"/>
    </xf>
    <xf numFmtId="0" fontId="31" fillId="2" borderId="0" xfId="0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54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27" fillId="0" borderId="34" xfId="0" applyFont="1" applyBorder="1" applyAlignment="1">
      <alignment vertical="center"/>
    </xf>
    <xf numFmtId="0" fontId="30" fillId="0" borderId="8" xfId="0" applyFont="1" applyBorder="1" applyAlignment="1">
      <alignment horizontal="left" vertical="center"/>
    </xf>
    <xf numFmtId="0" fontId="27" fillId="0" borderId="8" xfId="0" applyFont="1" applyBorder="1" applyAlignment="1">
      <alignment horizontal="center" vertical="center"/>
    </xf>
    <xf numFmtId="0" fontId="27" fillId="0" borderId="35" xfId="0" applyFont="1" applyBorder="1" applyAlignment="1">
      <alignment vertical="center"/>
    </xf>
    <xf numFmtId="0" fontId="27" fillId="0" borderId="0" xfId="0" applyFont="1"/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57" fillId="2" borderId="0" xfId="0" applyFont="1" applyFill="1" applyAlignment="1">
      <alignment vertical="center"/>
    </xf>
    <xf numFmtId="3" fontId="68" fillId="2" borderId="0" xfId="0" applyNumberFormat="1" applyFont="1" applyFill="1" applyAlignment="1">
      <alignment horizontal="center" vertical="center"/>
    </xf>
    <xf numFmtId="4" fontId="44" fillId="2" borderId="0" xfId="0" applyNumberFormat="1" applyFont="1" applyFill="1" applyAlignment="1">
      <alignment horizontal="center" vertical="center"/>
    </xf>
    <xf numFmtId="0" fontId="76" fillId="0" borderId="0" xfId="0" applyFont="1" applyAlignment="1">
      <alignment vertical="center"/>
    </xf>
    <xf numFmtId="0" fontId="27" fillId="0" borderId="0" xfId="0" applyFont="1" applyAlignment="1">
      <alignment horizontal="right" vertical="center"/>
    </xf>
    <xf numFmtId="0" fontId="27" fillId="0" borderId="10" xfId="0" applyFont="1" applyBorder="1" applyAlignment="1">
      <alignment vertical="center"/>
    </xf>
    <xf numFmtId="0" fontId="27" fillId="0" borderId="0" xfId="0" applyFont="1" applyAlignment="1">
      <alignment horizontal="right"/>
    </xf>
    <xf numFmtId="0" fontId="79" fillId="0" borderId="13" xfId="0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58" fillId="0" borderId="13" xfId="7" applyFont="1" applyBorder="1" applyAlignment="1">
      <alignment horizontal="center" vertical="center"/>
    </xf>
    <xf numFmtId="0" fontId="80" fillId="0" borderId="0" xfId="0" applyFont="1" applyAlignment="1">
      <alignment vertical="center"/>
    </xf>
    <xf numFmtId="0" fontId="81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82" fillId="0" borderId="7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33" fillId="0" borderId="6" xfId="0" applyFont="1" applyBorder="1" applyAlignment="1">
      <alignment horizontal="left" vertical="center"/>
    </xf>
    <xf numFmtId="0" fontId="29" fillId="6" borderId="7" xfId="0" applyFont="1" applyFill="1" applyBorder="1" applyAlignment="1">
      <alignment horizontal="center" vertical="center" wrapText="1"/>
    </xf>
    <xf numFmtId="0" fontId="29" fillId="6" borderId="5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42" fillId="0" borderId="7" xfId="0" applyFont="1" applyBorder="1" applyAlignment="1">
      <alignment horizontal="left" vertical="center"/>
    </xf>
    <xf numFmtId="0" fontId="42" fillId="0" borderId="5" xfId="0" applyFont="1" applyBorder="1" applyAlignment="1">
      <alignment horizontal="left" vertical="center"/>
    </xf>
    <xf numFmtId="0" fontId="27" fillId="0" borderId="7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7" fillId="0" borderId="5" xfId="0" applyFont="1" applyBorder="1" applyAlignment="1">
      <alignment horizontal="center" vertical="center"/>
    </xf>
    <xf numFmtId="3" fontId="68" fillId="4" borderId="7" xfId="0" applyNumberFormat="1" applyFont="1" applyFill="1" applyBorder="1" applyAlignment="1">
      <alignment horizontal="center" vertical="center"/>
    </xf>
    <xf numFmtId="3" fontId="68" fillId="4" borderId="6" xfId="0" applyNumberFormat="1" applyFont="1" applyFill="1" applyBorder="1" applyAlignment="1">
      <alignment horizontal="center" vertical="center"/>
    </xf>
    <xf numFmtId="0" fontId="32" fillId="0" borderId="7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42" fillId="0" borderId="7" xfId="7" applyFont="1" applyBorder="1" applyAlignment="1">
      <alignment horizontal="left" vertical="center"/>
    </xf>
    <xf numFmtId="0" fontId="42" fillId="0" borderId="5" xfId="7" applyFont="1" applyBorder="1" applyAlignment="1">
      <alignment horizontal="left" vertical="center"/>
    </xf>
    <xf numFmtId="0" fontId="42" fillId="0" borderId="6" xfId="7" applyFont="1" applyBorder="1" applyAlignment="1">
      <alignment horizontal="left" vertical="center"/>
    </xf>
    <xf numFmtId="0" fontId="41" fillId="0" borderId="13" xfId="0" applyFont="1" applyBorder="1" applyAlignment="1">
      <alignment horizontal="center" vertical="center"/>
    </xf>
    <xf numFmtId="164" fontId="43" fillId="0" borderId="13" xfId="0" applyNumberFormat="1" applyFont="1" applyBorder="1" applyAlignment="1">
      <alignment horizontal="center" vertical="center"/>
    </xf>
    <xf numFmtId="15" fontId="83" fillId="0" borderId="13" xfId="0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164" fontId="44" fillId="0" borderId="7" xfId="0" applyNumberFormat="1" applyFont="1" applyBorder="1" applyAlignment="1">
      <alignment horizontal="center" vertical="center"/>
    </xf>
    <xf numFmtId="164" fontId="44" fillId="0" borderId="6" xfId="0" applyNumberFormat="1" applyFont="1" applyBorder="1" applyAlignment="1">
      <alignment horizontal="center" vertical="center"/>
    </xf>
    <xf numFmtId="15" fontId="40" fillId="0" borderId="7" xfId="0" applyNumberFormat="1" applyFont="1" applyBorder="1" applyAlignment="1">
      <alignment horizontal="center" vertical="center"/>
    </xf>
    <xf numFmtId="15" fontId="40" fillId="0" borderId="6" xfId="0" applyNumberFormat="1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3" fontId="40" fillId="4" borderId="7" xfId="0" applyNumberFormat="1" applyFont="1" applyFill="1" applyBorder="1" applyAlignment="1">
      <alignment horizontal="center" vertical="center"/>
    </xf>
    <xf numFmtId="3" fontId="40" fillId="4" borderId="6" xfId="0" applyNumberFormat="1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78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9" fillId="0" borderId="3" xfId="7" applyFont="1" applyBorder="1" applyAlignment="1">
      <alignment horizontal="center" vertical="center"/>
    </xf>
    <xf numFmtId="0" fontId="9" fillId="0" borderId="0" xfId="7" applyFont="1" applyAlignment="1">
      <alignment horizontal="center" vertical="center"/>
    </xf>
    <xf numFmtId="0" fontId="9" fillId="0" borderId="24" xfId="7" applyFont="1" applyBorder="1" applyAlignment="1">
      <alignment horizontal="center" vertical="center"/>
    </xf>
    <xf numFmtId="0" fontId="18" fillId="0" borderId="21" xfId="7" applyFont="1" applyBorder="1" applyAlignment="1">
      <alignment horizontal="center" vertical="top"/>
    </xf>
    <xf numFmtId="0" fontId="18" fillId="0" borderId="22" xfId="7" applyFont="1" applyBorder="1" applyAlignment="1">
      <alignment horizontal="center" vertical="top"/>
    </xf>
    <xf numFmtId="0" fontId="18" fillId="0" borderId="30" xfId="7" applyFont="1" applyBorder="1" applyAlignment="1">
      <alignment horizontal="center" vertical="top"/>
    </xf>
    <xf numFmtId="0" fontId="19" fillId="5" borderId="0" xfId="7" applyFont="1" applyFill="1" applyAlignment="1">
      <alignment horizontal="center"/>
    </xf>
    <xf numFmtId="0" fontId="25" fillId="0" borderId="14" xfId="7" applyFont="1" applyBorder="1" applyAlignment="1">
      <alignment horizontal="center" vertical="center"/>
    </xf>
    <xf numFmtId="0" fontId="25" fillId="0" borderId="15" xfId="7" applyFont="1" applyBorder="1" applyAlignment="1">
      <alignment horizontal="center" vertical="center"/>
    </xf>
    <xf numFmtId="0" fontId="25" fillId="0" borderId="16" xfId="7" applyFont="1" applyBorder="1" applyAlignment="1">
      <alignment horizontal="center" vertical="center"/>
    </xf>
    <xf numFmtId="0" fontId="25" fillId="0" borderId="17" xfId="7" applyFont="1" applyBorder="1" applyAlignment="1">
      <alignment horizontal="center" vertical="center"/>
    </xf>
    <xf numFmtId="0" fontId="25" fillId="0" borderId="18" xfId="7" applyFont="1" applyBorder="1" applyAlignment="1">
      <alignment horizontal="center" vertical="center"/>
    </xf>
    <xf numFmtId="0" fontId="25" fillId="0" borderId="19" xfId="7" applyFont="1" applyBorder="1" applyAlignment="1">
      <alignment horizontal="center" vertical="center"/>
    </xf>
    <xf numFmtId="4" fontId="6" fillId="2" borderId="7" xfId="7" applyNumberFormat="1" applyFont="1" applyFill="1" applyBorder="1" applyAlignment="1">
      <alignment horizontal="center" vertical="center"/>
    </xf>
    <xf numFmtId="4" fontId="6" fillId="2" borderId="6" xfId="7" applyNumberFormat="1" applyFont="1" applyFill="1" applyBorder="1" applyAlignment="1">
      <alignment horizontal="center" vertical="center"/>
    </xf>
    <xf numFmtId="4" fontId="26" fillId="0" borderId="20" xfId="7" applyNumberFormat="1" applyFont="1" applyBorder="1" applyAlignment="1">
      <alignment horizontal="center" vertical="center"/>
    </xf>
    <xf numFmtId="4" fontId="26" fillId="0" borderId="19" xfId="7" applyNumberFormat="1" applyFont="1" applyBorder="1" applyAlignment="1">
      <alignment horizontal="center" vertical="center"/>
    </xf>
    <xf numFmtId="0" fontId="15" fillId="0" borderId="3" xfId="7" applyFont="1" applyBorder="1" applyAlignment="1">
      <alignment horizontal="left" vertical="top"/>
    </xf>
    <xf numFmtId="0" fontId="15" fillId="0" borderId="0" xfId="7" applyFont="1" applyAlignment="1">
      <alignment horizontal="left" vertical="top"/>
    </xf>
    <xf numFmtId="0" fontId="15" fillId="0" borderId="24" xfId="7" applyFont="1" applyBorder="1" applyAlignment="1">
      <alignment horizontal="left" vertical="top"/>
    </xf>
    <xf numFmtId="0" fontId="2" fillId="0" borderId="5" xfId="7" applyFont="1" applyBorder="1" applyAlignment="1">
      <alignment horizontal="center"/>
    </xf>
    <xf numFmtId="0" fontId="2" fillId="0" borderId="6" xfId="7" applyFont="1" applyBorder="1" applyAlignment="1">
      <alignment horizontal="center"/>
    </xf>
    <xf numFmtId="0" fontId="2" fillId="0" borderId="5" xfId="7" applyFont="1" applyBorder="1" applyAlignment="1">
      <alignment horizontal="center" vertical="center"/>
    </xf>
    <xf numFmtId="0" fontId="2" fillId="0" borderId="25" xfId="7" applyFont="1" applyBorder="1" applyAlignment="1">
      <alignment horizontal="center" vertical="center"/>
    </xf>
    <xf numFmtId="0" fontId="2" fillId="3" borderId="4" xfId="7" applyFont="1" applyFill="1" applyBorder="1" applyAlignment="1">
      <alignment horizontal="center" vertical="center"/>
    </xf>
    <xf numFmtId="0" fontId="2" fillId="3" borderId="5" xfId="7" applyFont="1" applyFill="1" applyBorder="1" applyAlignment="1">
      <alignment horizontal="center" vertical="center"/>
    </xf>
    <xf numFmtId="0" fontId="2" fillId="3" borderId="25" xfId="7" applyFont="1" applyFill="1" applyBorder="1" applyAlignment="1">
      <alignment horizontal="center" vertical="center"/>
    </xf>
    <xf numFmtId="0" fontId="6" fillId="0" borderId="4" xfId="7" applyFont="1" applyBorder="1" applyAlignment="1">
      <alignment horizontal="center" vertical="center"/>
    </xf>
    <xf numFmtId="0" fontId="6" fillId="0" borderId="5" xfId="7" applyFont="1" applyBorder="1" applyAlignment="1">
      <alignment horizontal="center" vertical="center"/>
    </xf>
    <xf numFmtId="0" fontId="6" fillId="0" borderId="25" xfId="7" applyFont="1" applyBorder="1" applyAlignment="1">
      <alignment horizontal="center" vertical="center"/>
    </xf>
    <xf numFmtId="0" fontId="12" fillId="0" borderId="7" xfId="7" applyFont="1" applyBorder="1" applyAlignment="1">
      <alignment horizontal="left" vertical="center"/>
    </xf>
    <xf numFmtId="0" fontId="12" fillId="0" borderId="5" xfId="7" applyFont="1" applyBorder="1" applyAlignment="1">
      <alignment horizontal="left" vertical="center"/>
    </xf>
    <xf numFmtId="0" fontId="12" fillId="0" borderId="6" xfId="7" applyFont="1" applyBorder="1" applyAlignment="1">
      <alignment horizontal="left" vertical="center"/>
    </xf>
    <xf numFmtId="0" fontId="10" fillId="0" borderId="5" xfId="7" applyFont="1" applyBorder="1" applyAlignment="1">
      <alignment horizontal="center" vertical="center"/>
    </xf>
    <xf numFmtId="0" fontId="10" fillId="0" borderId="25" xfId="7" applyFont="1" applyBorder="1" applyAlignment="1">
      <alignment horizontal="center" vertical="center"/>
    </xf>
    <xf numFmtId="164" fontId="11" fillId="0" borderId="5" xfId="7" applyNumberFormat="1" applyFont="1" applyBorder="1" applyAlignment="1">
      <alignment horizontal="center" vertical="center"/>
    </xf>
    <xf numFmtId="164" fontId="11" fillId="0" borderId="25" xfId="7" applyNumberFormat="1" applyFont="1" applyBorder="1" applyAlignment="1">
      <alignment horizontal="center" vertical="center"/>
    </xf>
    <xf numFmtId="15" fontId="2" fillId="0" borderId="5" xfId="7" applyNumberFormat="1" applyFont="1" applyBorder="1" applyAlignment="1">
      <alignment horizontal="center" vertical="center"/>
    </xf>
    <xf numFmtId="15" fontId="2" fillId="0" borderId="25" xfId="7" applyNumberFormat="1" applyFont="1" applyBorder="1" applyAlignment="1">
      <alignment horizontal="center" vertical="center"/>
    </xf>
    <xf numFmtId="0" fontId="9" fillId="0" borderId="3" xfId="7" applyFont="1" applyBorder="1" applyAlignment="1">
      <alignment horizontal="center"/>
    </xf>
    <xf numFmtId="0" fontId="9" fillId="0" borderId="0" xfId="7" applyFont="1" applyAlignment="1">
      <alignment horizontal="center"/>
    </xf>
    <xf numFmtId="0" fontId="9" fillId="0" borderId="24" xfId="7" applyFont="1" applyBorder="1" applyAlignment="1">
      <alignment horizontal="center"/>
    </xf>
    <xf numFmtId="0" fontId="13" fillId="0" borderId="14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3" fillId="0" borderId="16" xfId="7" applyFont="1" applyBorder="1" applyAlignment="1">
      <alignment horizontal="center" vertical="center"/>
    </xf>
    <xf numFmtId="0" fontId="13" fillId="0" borderId="17" xfId="7" applyFont="1" applyBorder="1" applyAlignment="1">
      <alignment horizontal="center" vertical="center"/>
    </xf>
    <xf numFmtId="0" fontId="13" fillId="0" borderId="18" xfId="7" applyFont="1" applyBorder="1" applyAlignment="1">
      <alignment horizontal="center" vertical="center"/>
    </xf>
    <xf numFmtId="0" fontId="13" fillId="0" borderId="19" xfId="7" applyFont="1" applyBorder="1" applyAlignment="1">
      <alignment horizontal="center" vertical="center"/>
    </xf>
    <xf numFmtId="4" fontId="12" fillId="0" borderId="20" xfId="7" applyNumberFormat="1" applyFont="1" applyBorder="1" applyAlignment="1">
      <alignment horizontal="center" vertical="center"/>
    </xf>
    <xf numFmtId="4" fontId="12" fillId="0" borderId="19" xfId="7" applyNumberFormat="1" applyFont="1" applyBorder="1" applyAlignment="1">
      <alignment horizontal="center" vertical="center"/>
    </xf>
    <xf numFmtId="0" fontId="5" fillId="0" borderId="3" xfId="7" applyFont="1" applyBorder="1" applyAlignment="1">
      <alignment horizontal="left" vertical="top"/>
    </xf>
    <xf numFmtId="0" fontId="5" fillId="0" borderId="0" xfId="7" applyFont="1" applyAlignment="1">
      <alignment horizontal="left" vertical="top"/>
    </xf>
    <xf numFmtId="0" fontId="5" fillId="0" borderId="24" xfId="7" applyFont="1" applyBorder="1" applyAlignment="1">
      <alignment horizontal="left" vertical="top"/>
    </xf>
    <xf numFmtId="0" fontId="2" fillId="0" borderId="5" xfId="7" applyFont="1" applyBorder="1" applyAlignment="1">
      <alignment horizontal="left"/>
    </xf>
    <xf numFmtId="0" fontId="2" fillId="0" borderId="6" xfId="7" applyFont="1" applyBorder="1" applyAlignment="1">
      <alignment horizontal="left"/>
    </xf>
    <xf numFmtId="0" fontId="2" fillId="0" borderId="5" xfId="7" quotePrefix="1" applyFont="1" applyBorder="1" applyAlignment="1">
      <alignment horizontal="center" vertical="center"/>
    </xf>
    <xf numFmtId="0" fontId="8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horizontal="left" vertical="center"/>
    </xf>
    <xf numFmtId="0" fontId="36" fillId="0" borderId="13" xfId="0" applyFont="1" applyBorder="1" applyAlignment="1">
      <alignment vertical="center"/>
    </xf>
    <xf numFmtId="0" fontId="36" fillId="0" borderId="13" xfId="0" applyFont="1" applyBorder="1" applyAlignment="1">
      <alignment horizontal="left" vertical="center"/>
    </xf>
    <xf numFmtId="0" fontId="0" fillId="7" borderId="0" xfId="0" applyFill="1" applyAlignment="1">
      <alignment horizontal="center" vertical="center"/>
    </xf>
  </cellXfs>
  <cellStyles count="10">
    <cellStyle name="Comma 2" xfId="4" xr:uid="{00000000-0005-0000-0000-000034000000}"/>
    <cellStyle name="Comma 2 2" xfId="1" xr:uid="{00000000-0005-0000-0000-000014000000}"/>
    <cellStyle name="Comma 2 2 2" xfId="2" xr:uid="{00000000-0005-0000-0000-000030000000}"/>
    <cellStyle name="Comma 3" xfId="5" xr:uid="{00000000-0005-0000-0000-000035000000}"/>
    <cellStyle name="Normal 2" xfId="7" xr:uid="{00000000-0005-0000-0000-000037000000}"/>
    <cellStyle name="Normal 2 2" xfId="3" xr:uid="{00000000-0005-0000-0000-000032000000}"/>
    <cellStyle name="Normal 2 2 2" xfId="8" xr:uid="{00000000-0005-0000-0000-000038000000}"/>
    <cellStyle name="ปกติ" xfId="0" builtinId="0"/>
    <cellStyle name="ปกติ 2" xfId="6" xr:uid="{00000000-0005-0000-0000-000036000000}"/>
    <cellStyle name="ปกติ 3" xfId="9" xr:uid="{836247A1-B4D9-4223-9894-04B5A97FCB0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4B4B4B"/>
      <color rgb="FFA2FEAB"/>
      <color rgb="FFFEBEF9"/>
      <color rgb="FF00FF00"/>
      <color rgb="FF0000FF"/>
      <color rgb="FFF4FD7B"/>
      <color rgb="FFDF0D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jpeg"/><Relationship Id="rId1" Type="http://schemas.openxmlformats.org/officeDocument/2006/relationships/image" Target="../media/image7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2874818</xdr:colOff>
      <xdr:row>82</xdr:row>
      <xdr:rowOff>102054</xdr:rowOff>
    </xdr:from>
    <xdr:to>
      <xdr:col>6</xdr:col>
      <xdr:colOff>3082636</xdr:colOff>
      <xdr:row>83</xdr:row>
      <xdr:rowOff>1281546</xdr:rowOff>
    </xdr:to>
    <xdr:sp macro="" textlink="">
      <xdr:nvSpPr>
        <xdr:cNvPr id="3" name="Rectangl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465618" y="31172604"/>
          <a:ext cx="3503468" cy="1465242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latin typeface="Angsana New" panose="02020603050405020304" pitchFamily="18" charset="-34"/>
              <a:cs typeface="Angsana New" panose="02020603050405020304" pitchFamily="18" charset="-34"/>
            </a:rPr>
            <a:t>(</a:t>
          </a:r>
          <a:r>
            <a:rPr lang="th-TH" sz="1600" u="sng" baseline="0">
              <a:latin typeface="Angsana New" panose="02020603050405020304" pitchFamily="18" charset="-34"/>
              <a:cs typeface="Angsana New" panose="02020603050405020304" pitchFamily="18" charset="-34"/>
            </a:rPr>
            <a:t>                                               </a:t>
          </a:r>
          <a:r>
            <a:rPr lang="th-TH" sz="1600" baseline="0">
              <a:latin typeface="Angsana New" panose="02020603050405020304" pitchFamily="18" charset="-34"/>
              <a:cs typeface="Angsana New" panose="02020603050405020304" pitchFamily="18" charset="-34"/>
            </a:rPr>
            <a:t>)</a:t>
          </a:r>
          <a:br>
            <a:rPr lang="th-TH" sz="1600" baseline="0">
              <a:latin typeface="Angsana New" panose="02020603050405020304" pitchFamily="18" charset="-34"/>
              <a:cs typeface="Angsana New" panose="02020603050405020304" pitchFamily="18" charset="-34"/>
            </a:rPr>
          </a:br>
          <a:r>
            <a:rPr lang="th-TH" sz="1600" baseline="0">
              <a:latin typeface="Angsana New" panose="02020603050405020304" pitchFamily="18" charset="-34"/>
              <a:cs typeface="Angsana New" panose="02020603050405020304" pitchFamily="18" charset="-34"/>
            </a:rPr>
            <a:t>(</a:t>
          </a:r>
          <a:r>
            <a:rPr lang="en-US" sz="1600" baseline="0">
              <a:latin typeface="Angsana New" panose="02020603050405020304" pitchFamily="18" charset="-34"/>
              <a:cs typeface="Angsana New" panose="02020603050405020304" pitchFamily="18" charset="-34"/>
            </a:rPr>
            <a:t>  </a:t>
          </a:r>
          <a:r>
            <a:rPr lang="th-TH" sz="1600" baseline="0">
              <a:latin typeface="Angsana New" panose="02020603050405020304" pitchFamily="18" charset="-34"/>
              <a:cs typeface="Angsana New" panose="02020603050405020304" pitchFamily="18" charset="-34"/>
            </a:rPr>
            <a:t>                         )</a:t>
          </a:r>
          <a:r>
            <a:rPr lang="en-US" sz="1600" baseline="0">
              <a:latin typeface="Angsana New" panose="02020603050405020304" pitchFamily="18" charset="-34"/>
              <a:cs typeface="Angsana New" panose="02020603050405020304" pitchFamily="18" charset="-34"/>
            </a:rPr>
            <a:t>                 </a:t>
          </a:r>
          <a:r>
            <a:rPr lang="th-TH" sz="1600" baseline="0">
              <a:latin typeface="Angsana New" panose="02020603050405020304" pitchFamily="18" charset="-34"/>
              <a:cs typeface="Angsana New" panose="02020603050405020304" pitchFamily="18" charset="-34"/>
            </a:rPr>
            <a:t>                    </a:t>
          </a:r>
          <a:br>
            <a:rPr lang="th-TH" sz="1600" baseline="0">
              <a:latin typeface="Angsana New" panose="02020603050405020304" pitchFamily="18" charset="-34"/>
              <a:cs typeface="Angsana New" panose="02020603050405020304" pitchFamily="18" charset="-34"/>
            </a:rPr>
          </a:br>
          <a:r>
            <a:rPr lang="th-TH" sz="1600" b="1">
              <a:latin typeface="Angsana New" panose="02020603050405020304" pitchFamily="18" charset="-34"/>
              <a:cs typeface="Angsana New" panose="02020603050405020304" pitchFamily="18" charset="-34"/>
            </a:rPr>
            <a:t>ฝ่ายการตลาด/ผู้เสนอขาย </a:t>
          </a:r>
          <a:endParaRPr lang="en-US" sz="1600" b="1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 b="0">
              <a:effectLst/>
              <a:latin typeface="+mn-lt"/>
              <a:ea typeface="+mn-ea"/>
              <a:cs typeface="+mn-cs"/>
            </a:rPr>
            <a:t>营销</a:t>
          </a:r>
          <a:r>
            <a:rPr lang="th-TH" sz="1100" b="0"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>
              <a:effectLst/>
              <a:latin typeface="+mn-lt"/>
              <a:ea typeface="+mn-ea"/>
              <a:cs typeface="+mn-cs"/>
            </a:rPr>
            <a:t>报价人</a:t>
          </a:r>
          <a:endParaRPr lang="en-US" sz="1600">
            <a:effectLst/>
          </a:endParaRPr>
        </a:p>
      </xdr:txBody>
    </xdr:sp>
    <xdr:clientData/>
  </xdr:twoCellAnchor>
  <xdr:twoCellAnchor>
    <xdr:from>
      <xdr:col>2</xdr:col>
      <xdr:colOff>103909</xdr:colOff>
      <xdr:row>82</xdr:row>
      <xdr:rowOff>96611</xdr:rowOff>
    </xdr:from>
    <xdr:to>
      <xdr:col>4</xdr:col>
      <xdr:colOff>1636567</xdr:colOff>
      <xdr:row>83</xdr:row>
      <xdr:rowOff>1264227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80209" y="31167161"/>
          <a:ext cx="3247158" cy="145336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 eaLnBrk="1" fontAlgn="auto" latinLnBrk="0" hangingPunct="1"/>
          <a:r>
            <a:rPr lang="th-TH" sz="1600" b="0">
              <a:latin typeface="Angsana New" panose="02020603050405020304" pitchFamily="18" charset="-34"/>
              <a:cs typeface="Angsana New" panose="02020603050405020304" pitchFamily="18" charset="-34"/>
            </a:rPr>
            <a:t>(</a:t>
          </a:r>
          <a:r>
            <a:rPr lang="th-TH" sz="1600" b="0" u="sng" baseline="0">
              <a:latin typeface="Angsana New" panose="02020603050405020304" pitchFamily="18" charset="-34"/>
              <a:cs typeface="Angsana New" panose="02020603050405020304" pitchFamily="18" charset="-34"/>
            </a:rPr>
            <a:t>                            </a:t>
          </a:r>
          <a:r>
            <a:rPr lang="en-US" sz="1600" b="0" u="sng" baseline="0">
              <a:latin typeface="Angsana New" panose="02020603050405020304" pitchFamily="18" charset="-34"/>
              <a:cs typeface="Angsana New" panose="02020603050405020304" pitchFamily="18" charset="-34"/>
            </a:rPr>
            <a:t>             </a:t>
          </a:r>
          <a:r>
            <a:rPr lang="th-TH" sz="1600" b="0" u="sng" baseline="0">
              <a:latin typeface="Angsana New" panose="02020603050405020304" pitchFamily="18" charset="-34"/>
              <a:cs typeface="Angsana New" panose="02020603050405020304" pitchFamily="18" charset="-34"/>
            </a:rPr>
            <a:t>                      </a:t>
          </a:r>
          <a:r>
            <a:rPr lang="th-TH" sz="1600" b="0" baseline="0">
              <a:latin typeface="Angsana New" panose="02020603050405020304" pitchFamily="18" charset="-34"/>
              <a:cs typeface="Angsana New" panose="02020603050405020304" pitchFamily="18" charset="-34"/>
            </a:rPr>
            <a:t>)</a:t>
          </a:r>
        </a:p>
        <a:p>
          <a:pPr algn="ctr" eaLnBrk="1" fontAlgn="auto" latinLnBrk="0" hangingPunct="1"/>
          <a:r>
            <a:rPr lang="th-TH" sz="1400" b="0" baseline="0">
              <a:latin typeface="Angsana New" panose="02020603050405020304" pitchFamily="18" charset="-34"/>
              <a:cs typeface="Angsana New" panose="02020603050405020304" pitchFamily="18" charset="-34"/>
            </a:rPr>
            <a:t>(</a:t>
          </a:r>
          <a:r>
            <a:rPr lang="en-US" sz="1400" b="0" baseline="0"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  <a:r>
            <a:rPr lang="th-TH" sz="1400" b="0" baseline="0">
              <a:latin typeface="Angsana New" panose="02020603050405020304" pitchFamily="18" charset="-34"/>
              <a:cs typeface="Angsana New" panose="02020603050405020304" pitchFamily="18" charset="-34"/>
            </a:rPr>
            <a:t>                                  )            </a:t>
          </a:r>
          <a:r>
            <a:rPr lang="en-US" sz="1400" b="0" baseline="0"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  <a:r>
            <a:rPr lang="th-TH" sz="1400" b="0" baseline="0">
              <a:latin typeface="Angsana New" panose="02020603050405020304" pitchFamily="18" charset="-34"/>
              <a:cs typeface="Angsana New" panose="02020603050405020304" pitchFamily="18" charset="-34"/>
            </a:rPr>
            <a:t>                         </a:t>
          </a:r>
          <a:br>
            <a:rPr lang="th-TH" sz="1600" b="0" baseline="0">
              <a:latin typeface="Angsana New" panose="02020603050405020304" pitchFamily="18" charset="-34"/>
              <a:cs typeface="Angsana New" panose="02020603050405020304" pitchFamily="18" charset="-34"/>
            </a:rPr>
          </a:br>
          <a:r>
            <a:rPr lang="th-TH" sz="1600" b="1">
              <a:latin typeface="Angsana New" panose="02020603050405020304" pitchFamily="18" charset="-34"/>
              <a:cs typeface="Angsana New" panose="02020603050405020304" pitchFamily="18" charset="-34"/>
            </a:rPr>
            <a:t>ลูกค้าคนสำคัญ</a:t>
          </a:r>
          <a:r>
            <a:rPr lang="th-TH" sz="1600" b="1" baseline="0"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  <a:r>
            <a:rPr lang="en-US" sz="1600" b="1" baseline="0">
              <a:latin typeface="Angsana New" panose="02020603050405020304" pitchFamily="18" charset="-34"/>
              <a:cs typeface="Angsana New" panose="02020603050405020304" pitchFamily="18" charset="-34"/>
            </a:rPr>
            <a:t>(</a:t>
          </a:r>
          <a:r>
            <a:rPr lang="th-TH" sz="1600" b="0" baseline="0">
              <a:latin typeface="Angsana New" panose="02020603050405020304" pitchFamily="18" charset="-34"/>
              <a:cs typeface="Angsana New" panose="02020603050405020304" pitchFamily="18" charset="-34"/>
            </a:rPr>
            <a:t>ลงนาม/ประทับตรา</a:t>
          </a:r>
          <a:r>
            <a:rPr lang="en-US" sz="1400" b="1" baseline="0">
              <a:latin typeface="Angsana New" panose="02020603050405020304" pitchFamily="18" charset="-34"/>
              <a:cs typeface="Angsana New" panose="02020603050405020304" pitchFamily="18" charset="-34"/>
            </a:rPr>
            <a:t>)</a:t>
          </a:r>
        </a:p>
        <a:p>
          <a:pPr algn="ctr" eaLnBrk="1" fontAlgn="auto" latinLnBrk="0" hangingPunct="1"/>
          <a:r>
            <a:rPr lang="zh-CN" altLang="en-US" sz="1100" b="0" baseline="0">
              <a:effectLst/>
              <a:latin typeface="+mn-lt"/>
              <a:ea typeface="+mn-ea"/>
              <a:cs typeface="+mn-cs"/>
            </a:rPr>
            <a:t>客户</a:t>
          </a:r>
          <a:r>
            <a:rPr lang="en-US" sz="1100" b="0" baseline="0"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100" b="0" baseline="0">
              <a:effectLst/>
              <a:latin typeface="+mn-lt"/>
              <a:ea typeface="+mn-ea"/>
              <a:cs typeface="+mn-cs"/>
            </a:rPr>
            <a:t>签名</a:t>
          </a:r>
          <a:r>
            <a:rPr lang="th-TH" sz="1100" b="0" baseline="0"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baseline="0">
              <a:effectLst/>
              <a:latin typeface="+mn-lt"/>
              <a:ea typeface="+mn-ea"/>
              <a:cs typeface="+mn-cs"/>
            </a:rPr>
            <a:t>盖章</a:t>
          </a:r>
          <a:r>
            <a:rPr lang="en-US" altLang="zh-CN" sz="1100" b="0" baseline="0"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7</xdr:col>
      <xdr:colOff>580160</xdr:colOff>
      <xdr:row>82</xdr:row>
      <xdr:rowOff>78923</xdr:rowOff>
    </xdr:from>
    <xdr:to>
      <xdr:col>9</xdr:col>
      <xdr:colOff>1047750</xdr:colOff>
      <xdr:row>83</xdr:row>
      <xdr:rowOff>1290205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9CA8DC8-66E1-4C59-AADC-3D98E9FF330F}"/>
            </a:ext>
          </a:extLst>
        </xdr:cNvPr>
        <xdr:cNvSpPr/>
      </xdr:nvSpPr>
      <xdr:spPr>
        <a:xfrm>
          <a:off x="9957955" y="30965900"/>
          <a:ext cx="3515590" cy="1497032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600" b="0" u="sng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b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="1">
              <a:latin typeface="AngsanaUPC" panose="02020603050405020304" pitchFamily="18" charset="-34"/>
              <a:cs typeface="AngsanaUPC" panose="02020603050405020304" pitchFamily="18" charset="-34"/>
            </a:rPr>
            <a:t>(  นายเฟื่องฟู</a:t>
          </a:r>
          <a:r>
            <a:rPr lang="th-TH" sz="1600" b="1" baseline="0">
              <a:latin typeface="AngsanaUPC" panose="02020603050405020304" pitchFamily="18" charset="-34"/>
              <a:cs typeface="AngsanaUPC" panose="02020603050405020304" pitchFamily="18" charset="-34"/>
            </a:rPr>
            <a:t> ชีวินมหรัตน์ )</a:t>
          </a:r>
          <a:br>
            <a:rPr lang="th-TH" sz="1600" b="1" baseline="0">
              <a:latin typeface="AngsanaUPC" panose="02020603050405020304" pitchFamily="18" charset="-34"/>
              <a:cs typeface="AngsanaUPC" panose="02020603050405020304" pitchFamily="18" charset="-34"/>
            </a:rPr>
          </a:br>
          <a:r>
            <a:rPr lang="th-TH" sz="1600" b="1" baseline="0">
              <a:latin typeface="AngsanaUPC" panose="02020603050405020304" pitchFamily="18" charset="-34"/>
              <a:cs typeface="AngsanaUPC" panose="02020603050405020304" pitchFamily="18" charset="-34"/>
            </a:rPr>
            <a:t>กรรมการผู้จัดการ/ผู้อนุมัติเสนอราคา</a:t>
          </a:r>
          <a:endParaRPr lang="en-US" sz="1600" b="1" baseline="0">
            <a:latin typeface="AngsanaUPC" panose="02020603050405020304" pitchFamily="18" charset="-34"/>
            <a:cs typeface="AngsanaUPC" panose="02020603050405020304" pitchFamily="18" charset="-34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 b="0" baseline="0">
              <a:effectLst/>
              <a:latin typeface="+mn-lt"/>
              <a:ea typeface="+mn-ea"/>
              <a:cs typeface="+mn-cs"/>
            </a:rPr>
            <a:t>执行董事</a:t>
          </a:r>
          <a:r>
            <a:rPr lang="en-US" altLang="zh-CN" sz="1100" b="0" baseline="0"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baseline="0">
              <a:effectLst/>
              <a:latin typeface="+mn-lt"/>
              <a:ea typeface="+mn-ea"/>
              <a:cs typeface="+mn-cs"/>
            </a:rPr>
            <a:t>价格核准人</a:t>
          </a:r>
          <a:endParaRPr lang="th-TH" sz="1600" b="1" baseline="0">
            <a:latin typeface="AngsanaUPC" panose="02020603050405020304" pitchFamily="18" charset="-34"/>
            <a:cs typeface="AngsanaUPC" panose="02020603050405020304" pitchFamily="18" charset="-34"/>
          </a:endParaRPr>
        </a:p>
      </xdr:txBody>
    </xdr:sp>
    <xdr:clientData/>
  </xdr:twoCellAnchor>
  <xdr:twoCellAnchor editAs="oneCell">
    <xdr:from>
      <xdr:col>7</xdr:col>
      <xdr:colOff>1942199</xdr:colOff>
      <xdr:row>80</xdr:row>
      <xdr:rowOff>117546</xdr:rowOff>
    </xdr:from>
    <xdr:to>
      <xdr:col>9</xdr:col>
      <xdr:colOff>86590</xdr:colOff>
      <xdr:row>83</xdr:row>
      <xdr:rowOff>323064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E120404C-B772-4A96-8B57-82D58FB4D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8654" y="30510955"/>
          <a:ext cx="1192391" cy="1019473"/>
        </a:xfrm>
        <a:prstGeom prst="rect">
          <a:avLst/>
        </a:prstGeom>
      </xdr:spPr>
    </xdr:pic>
    <xdr:clientData/>
  </xdr:twoCellAnchor>
  <xdr:twoCellAnchor editAs="oneCell">
    <xdr:from>
      <xdr:col>0</xdr:col>
      <xdr:colOff>77933</xdr:colOff>
      <xdr:row>49</xdr:row>
      <xdr:rowOff>69274</xdr:rowOff>
    </xdr:from>
    <xdr:to>
      <xdr:col>9</xdr:col>
      <xdr:colOff>1055597</xdr:colOff>
      <xdr:row>52</xdr:row>
      <xdr:rowOff>225137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BD604077-52DD-C355-2389-289674A55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1" t="6952" r="6677"/>
        <a:stretch/>
      </xdr:blipFill>
      <xdr:spPr>
        <a:xfrm>
          <a:off x="77933" y="18565092"/>
          <a:ext cx="14252864" cy="1220931"/>
        </a:xfrm>
        <a:prstGeom prst="rect">
          <a:avLst/>
        </a:prstGeom>
      </xdr:spPr>
    </xdr:pic>
    <xdr:clientData/>
  </xdr:twoCellAnchor>
  <xdr:twoCellAnchor editAs="oneCell">
    <xdr:from>
      <xdr:col>1</xdr:col>
      <xdr:colOff>121228</xdr:colOff>
      <xdr:row>84</xdr:row>
      <xdr:rowOff>460664</xdr:rowOff>
    </xdr:from>
    <xdr:to>
      <xdr:col>9</xdr:col>
      <xdr:colOff>1091911</xdr:colOff>
      <xdr:row>85</xdr:row>
      <xdr:rowOff>623454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4CC849E2-7AAE-499A-9CE4-BB874057F0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1" t="6214" r="6677"/>
        <a:stretch/>
      </xdr:blipFill>
      <xdr:spPr>
        <a:xfrm>
          <a:off x="242455" y="30802119"/>
          <a:ext cx="14105659" cy="1297131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0</xdr:row>
      <xdr:rowOff>93551</xdr:rowOff>
    </xdr:from>
    <xdr:to>
      <xdr:col>9</xdr:col>
      <xdr:colOff>1225312</xdr:colOff>
      <xdr:row>3</xdr:row>
      <xdr:rowOff>1134341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9F2D71-AB19-BFDB-8607-A943E2D5F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73" y="93551"/>
          <a:ext cx="14573250" cy="18634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1841042</xdr:colOff>
      <xdr:row>36</xdr:row>
      <xdr:rowOff>7620</xdr:rowOff>
    </xdr:from>
    <xdr:to>
      <xdr:col>6</xdr:col>
      <xdr:colOff>299501</xdr:colOff>
      <xdr:row>36</xdr:row>
      <xdr:rowOff>1211579</xdr:rowOff>
    </xdr:to>
    <xdr:sp macro="" textlink="">
      <xdr:nvSpPr>
        <xdr:cNvPr id="21" name="Rectangle 4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3503930" y="9411970"/>
          <a:ext cx="1619250" cy="12033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br>
            <a:rPr lang="en-US" sz="140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4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u="sng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b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(......................................................)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th-TH" sz="1400" b="1">
              <a:latin typeface="TH SarabunPSK" panose="020B0500040200020003" pitchFamily="34" charset="-34"/>
              <a:cs typeface="TH SarabunPSK" panose="020B0500040200020003" pitchFamily="34" charset="-34"/>
            </a:rPr>
            <a:t> ฝ่ายการตลาด/ผู้เสนอขาย </a:t>
          </a:r>
          <a:endParaRPr lang="en-US" sz="1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491581</xdr:colOff>
      <xdr:row>36</xdr:row>
      <xdr:rowOff>23558</xdr:rowOff>
    </xdr:from>
    <xdr:to>
      <xdr:col>3</xdr:col>
      <xdr:colOff>1414924</xdr:colOff>
      <xdr:row>36</xdr:row>
      <xdr:rowOff>1203960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491490" y="9427845"/>
          <a:ext cx="2586355" cy="118046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b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400" b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 eaLnBrk="1" fontAlgn="auto" latinLnBrk="0" hangingPunct="1"/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b="0" u="sng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                   </a:t>
          </a:r>
          <a: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ctr" eaLnBrk="1" fontAlgn="auto" latinLnBrk="0" hangingPunct="1"/>
          <a: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(..............................................................................)</a:t>
          </a:r>
          <a:b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="1">
              <a:latin typeface="TH SarabunPSK" panose="020B0500040200020003" pitchFamily="34" charset="-34"/>
              <a:cs typeface="TH SarabunPSK" panose="020B0500040200020003" pitchFamily="34" charset="-34"/>
            </a:rPr>
            <a:t>ลูกค้าคนสำคัญ</a:t>
          </a:r>
          <a:r>
            <a:rPr lang="th-TH" sz="14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4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ลงนาม/ประทับตรา</a:t>
          </a:r>
          <a:r>
            <a:rPr lang="en-US" sz="14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endParaRPr lang="en-US" sz="1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398880</xdr:colOff>
      <xdr:row>36</xdr:row>
      <xdr:rowOff>7620</xdr:rowOff>
    </xdr:from>
    <xdr:to>
      <xdr:col>8</xdr:col>
      <xdr:colOff>759082</xdr:colOff>
      <xdr:row>36</xdr:row>
      <xdr:rowOff>1211579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5222875" y="9411970"/>
          <a:ext cx="2075180" cy="12033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th-TH" sz="1400" b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b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b="0" u="sng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</a:t>
          </a:r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b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(นางสาวเศรษฐภรณ์  คำชั่ง )</a:t>
          </a:r>
        </a:p>
        <a:p>
          <a:pPr algn="ctr" eaLnBrk="1" fontAlgn="auto" latinLnBrk="0" hangingPunct="1"/>
          <a:r>
            <a:rPr lang="th-TH" sz="1400" b="1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ผู้จัดการฝ่ายการตลาด</a:t>
          </a:r>
          <a:endParaRPr lang="th-TH" sz="18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57150</xdr:rowOff>
    </xdr:from>
    <xdr:to>
      <xdr:col>8</xdr:col>
      <xdr:colOff>1219201</xdr:colOff>
      <xdr:row>1</xdr:row>
      <xdr:rowOff>909376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7150"/>
          <a:ext cx="7558405" cy="11664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57150</xdr:rowOff>
    </xdr:from>
    <xdr:to>
      <xdr:col>9</xdr:col>
      <xdr:colOff>19050</xdr:colOff>
      <xdr:row>39</xdr:row>
      <xdr:rowOff>105982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33100"/>
          <a:ext cx="7995285" cy="758190"/>
        </a:xfrm>
        <a:prstGeom prst="rect">
          <a:avLst/>
        </a:prstGeom>
      </xdr:spPr>
    </xdr:pic>
    <xdr:clientData/>
  </xdr:twoCellAnchor>
  <xdr:twoCellAnchor editAs="oneCell">
    <xdr:from>
      <xdr:col>7</xdr:col>
      <xdr:colOff>118845</xdr:colOff>
      <xdr:row>36</xdr:row>
      <xdr:rowOff>99004</xdr:rowOff>
    </xdr:from>
    <xdr:to>
      <xdr:col>8</xdr:col>
      <xdr:colOff>123825</xdr:colOff>
      <xdr:row>36</xdr:row>
      <xdr:rowOff>651506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044" t="12136" r="7055" b="3884"/>
        <a:stretch>
          <a:fillRect/>
        </a:stretch>
      </xdr:blipFill>
      <xdr:spPr>
        <a:xfrm>
          <a:off x="5883275" y="9502775"/>
          <a:ext cx="779780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1772462</xdr:colOff>
      <xdr:row>32</xdr:row>
      <xdr:rowOff>84667</xdr:rowOff>
    </xdr:from>
    <xdr:to>
      <xdr:col>6</xdr:col>
      <xdr:colOff>230921</xdr:colOff>
      <xdr:row>32</xdr:row>
      <xdr:rowOff>1272540</xdr:rowOff>
    </xdr:to>
    <xdr:sp macro="" textlink="">
      <xdr:nvSpPr>
        <xdr:cNvPr id="9" name="Rectangle 4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/>
      </xdr:nvSpPr>
      <xdr:spPr>
        <a:xfrm>
          <a:off x="3392170" y="9105265"/>
          <a:ext cx="2089150" cy="118808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br>
            <a:rPr lang="en-US" sz="140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4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u="sng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b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(......................................................)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th-TH" sz="1400" b="1">
              <a:latin typeface="TH SarabunPSK" panose="020B0500040200020003" pitchFamily="34" charset="-34"/>
              <a:cs typeface="TH SarabunPSK" panose="020B0500040200020003" pitchFamily="34" charset="-34"/>
            </a:rPr>
            <a:t> ฝ่ายการตลาด/ผู้เสนอขาย </a:t>
          </a:r>
          <a:endParaRPr lang="en-US" sz="1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453481</xdr:colOff>
      <xdr:row>32</xdr:row>
      <xdr:rowOff>76898</xdr:rowOff>
    </xdr:from>
    <xdr:to>
      <xdr:col>3</xdr:col>
      <xdr:colOff>1376824</xdr:colOff>
      <xdr:row>32</xdr:row>
      <xdr:rowOff>1249680</xdr:rowOff>
    </xdr:to>
    <xdr:sp macro="" textlink="">
      <xdr:nvSpPr>
        <xdr:cNvPr id="10" name="Rectangle 6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/>
      </xdr:nvSpPr>
      <xdr:spPr>
        <a:xfrm>
          <a:off x="453390" y="9097645"/>
          <a:ext cx="2543175" cy="117284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b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400" b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 eaLnBrk="1" fontAlgn="auto" latinLnBrk="0" hangingPunct="1"/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b="0" u="sng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              </a:t>
          </a:r>
          <a: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ctr" eaLnBrk="1" fontAlgn="auto" latinLnBrk="0" hangingPunct="1"/>
          <a: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(..............................................................................)</a:t>
          </a:r>
          <a:b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="1">
              <a:latin typeface="TH SarabunPSK" panose="020B0500040200020003" pitchFamily="34" charset="-34"/>
              <a:cs typeface="TH SarabunPSK" panose="020B0500040200020003" pitchFamily="34" charset="-34"/>
            </a:rPr>
            <a:t>ลูกค้าคนสำคัญ</a:t>
          </a:r>
          <a:r>
            <a:rPr lang="th-TH" sz="14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4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ลงนาม/ประทับตรา</a:t>
          </a:r>
          <a:r>
            <a:rPr lang="en-US" sz="14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endParaRPr lang="en-US" sz="1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398880</xdr:colOff>
      <xdr:row>32</xdr:row>
      <xdr:rowOff>89959</xdr:rowOff>
    </xdr:from>
    <xdr:to>
      <xdr:col>8</xdr:col>
      <xdr:colOff>759082</xdr:colOff>
      <xdr:row>32</xdr:row>
      <xdr:rowOff>1287780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>
        <a:xfrm>
          <a:off x="5649595" y="9110345"/>
          <a:ext cx="2110105" cy="119824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th-TH" sz="1400" b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b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400" b="0" u="sng">
              <a:latin typeface="TH SarabunPSK" panose="020B0500040200020003" pitchFamily="34" charset="-34"/>
              <a:cs typeface="TH SarabunPSK" panose="020B0500040200020003" pitchFamily="34" charset="-34"/>
            </a:rPr>
            <a:t>                                             </a:t>
          </a:r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b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="0">
              <a:latin typeface="TH SarabunPSK" panose="020B0500040200020003" pitchFamily="34" charset="-34"/>
              <a:cs typeface="TH SarabunPSK" panose="020B0500040200020003" pitchFamily="34" charset="-34"/>
            </a:rPr>
            <a:t>(นางสาวเศรษฐภรณ์  คำชั่ง )</a:t>
          </a:r>
        </a:p>
        <a:p>
          <a:pPr algn="ctr" eaLnBrk="1" fontAlgn="auto" latinLnBrk="0" hangingPunct="1"/>
          <a:r>
            <a:rPr lang="th-TH" sz="1400" b="1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ผู้จัดการฝ่ายการตลาด</a:t>
          </a:r>
          <a:endParaRPr lang="th-TH" sz="18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 editAs="oneCell">
    <xdr:from>
      <xdr:col>0</xdr:col>
      <xdr:colOff>314325</xdr:colOff>
      <xdr:row>0</xdr:row>
      <xdr:rowOff>114300</xdr:rowOff>
    </xdr:from>
    <xdr:to>
      <xdr:col>8</xdr:col>
      <xdr:colOff>828676</xdr:colOff>
      <xdr:row>1</xdr:row>
      <xdr:rowOff>966526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14300"/>
          <a:ext cx="7515225" cy="11664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95250</xdr:rowOff>
    </xdr:from>
    <xdr:to>
      <xdr:col>9</xdr:col>
      <xdr:colOff>0</xdr:colOff>
      <xdr:row>34</xdr:row>
      <xdr:rowOff>478278</xdr:rowOff>
    </xdr:to>
    <xdr:pic>
      <xdr:nvPicPr>
        <xdr:cNvPr id="8" name="รูปภาพ 8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09275"/>
          <a:ext cx="8011160" cy="756920"/>
        </a:xfrm>
        <a:prstGeom prst="rect">
          <a:avLst/>
        </a:prstGeom>
      </xdr:spPr>
    </xdr:pic>
    <xdr:clientData/>
  </xdr:twoCellAnchor>
  <xdr:twoCellAnchor editAs="oneCell">
    <xdr:from>
      <xdr:col>6</xdr:col>
      <xdr:colOff>1048485</xdr:colOff>
      <xdr:row>32</xdr:row>
      <xdr:rowOff>167901</xdr:rowOff>
    </xdr:from>
    <xdr:to>
      <xdr:col>8</xdr:col>
      <xdr:colOff>0</xdr:colOff>
      <xdr:row>32</xdr:row>
      <xdr:rowOff>716700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044" t="12136" r="7055" b="3884"/>
        <a:stretch>
          <a:fillRect/>
        </a:stretch>
      </xdr:blipFill>
      <xdr:spPr>
        <a:xfrm>
          <a:off x="6278245" y="9188450"/>
          <a:ext cx="722630" cy="548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O86"/>
  <sheetViews>
    <sheetView showGridLines="0" tabSelected="1" zoomScaleNormal="100" zoomScaleSheetLayoutView="110" workbookViewId="0">
      <selection activeCell="N6" sqref="N6"/>
    </sheetView>
  </sheetViews>
  <sheetFormatPr defaultColWidth="9.140625" defaultRowHeight="23.25"/>
  <cols>
    <col min="1" max="1" width="2.5703125" style="93" customWidth="1"/>
    <col min="2" max="2" width="6.7109375" style="94" customWidth="1"/>
    <col min="3" max="3" width="7.85546875" style="93" customWidth="1"/>
    <col min="4" max="4" width="10.140625" style="93" customWidth="1"/>
    <col min="5" max="5" width="30.28515625" style="93" customWidth="1"/>
    <col min="6" max="6" width="4.28515625" style="93" customWidth="1"/>
    <col min="7" max="7" width="41.85546875" style="93" customWidth="1"/>
    <col min="8" max="8" width="21.28515625" style="93" customWidth="1"/>
    <col min="9" max="9" width="10.7109375" style="94" customWidth="1"/>
    <col min="10" max="10" width="21.140625" style="94" customWidth="1"/>
    <col min="11" max="11" width="2.5703125" style="93" customWidth="1"/>
    <col min="12" max="16384" width="9.140625" style="93"/>
  </cols>
  <sheetData>
    <row r="1" spans="1:12" s="98" customFormat="1" ht="18.75" customHeight="1">
      <c r="A1" s="149"/>
      <c r="B1" s="150"/>
      <c r="F1" s="151"/>
      <c r="G1" s="151"/>
      <c r="H1" s="151"/>
      <c r="I1" s="150"/>
      <c r="J1" s="150"/>
      <c r="K1" s="152"/>
    </row>
    <row r="2" spans="1:12" ht="26.25" customHeight="1">
      <c r="A2" s="153"/>
      <c r="B2" s="154"/>
      <c r="F2" s="155"/>
      <c r="G2" s="155"/>
      <c r="H2" s="155"/>
      <c r="I2" s="156"/>
      <c r="J2" s="156"/>
      <c r="K2" s="157"/>
    </row>
    <row r="3" spans="1:12" ht="18.75" customHeight="1">
      <c r="A3" s="153"/>
      <c r="B3" s="156"/>
      <c r="F3" s="155"/>
      <c r="G3" s="155"/>
      <c r="H3" s="155"/>
      <c r="I3" s="156"/>
      <c r="J3" s="156"/>
      <c r="K3" s="157"/>
    </row>
    <row r="4" spans="1:12" ht="97.5" customHeight="1">
      <c r="A4" s="153"/>
      <c r="B4" s="97"/>
      <c r="C4" s="105"/>
      <c r="D4" s="105"/>
      <c r="E4" s="105"/>
      <c r="F4" s="106"/>
      <c r="G4" s="106"/>
      <c r="H4" s="106"/>
      <c r="I4" s="97"/>
      <c r="J4" s="97"/>
      <c r="K4" s="157"/>
    </row>
    <row r="5" spans="1:12" ht="32.1" customHeight="1">
      <c r="A5" s="208"/>
      <c r="B5" s="120" t="s">
        <v>0</v>
      </c>
      <c r="C5" s="216"/>
      <c r="D5" s="217"/>
      <c r="E5" s="217"/>
      <c r="F5" s="217"/>
      <c r="G5" s="218"/>
      <c r="H5" s="121" t="s">
        <v>1</v>
      </c>
      <c r="I5" s="238"/>
      <c r="J5" s="238"/>
      <c r="K5" s="157"/>
    </row>
    <row r="6" spans="1:12" s="137" customFormat="1" ht="32.1" customHeight="1">
      <c r="A6" s="158"/>
      <c r="B6" s="132" t="s">
        <v>73</v>
      </c>
      <c r="C6" s="133"/>
      <c r="D6" s="134"/>
      <c r="E6" s="134"/>
      <c r="F6" s="134"/>
      <c r="G6" s="135"/>
      <c r="H6" s="136" t="s">
        <v>78</v>
      </c>
      <c r="I6" s="242"/>
      <c r="J6" s="243"/>
      <c r="K6" s="159"/>
    </row>
    <row r="7" spans="1:12" ht="32.1" customHeight="1">
      <c r="A7" s="153"/>
      <c r="B7" s="120" t="s">
        <v>74</v>
      </c>
      <c r="C7" s="235"/>
      <c r="D7" s="236"/>
      <c r="E7" s="236"/>
      <c r="F7" s="236"/>
      <c r="G7" s="237"/>
      <c r="H7" s="121" t="s">
        <v>2</v>
      </c>
      <c r="I7" s="239"/>
      <c r="J7" s="239"/>
      <c r="K7" s="157"/>
    </row>
    <row r="8" spans="1:12" s="137" customFormat="1" ht="32.1" customHeight="1">
      <c r="A8" s="158"/>
      <c r="B8" s="212" t="s">
        <v>75</v>
      </c>
      <c r="C8" s="138"/>
      <c r="D8" s="139"/>
      <c r="E8" s="139"/>
      <c r="F8" s="139"/>
      <c r="G8" s="140"/>
      <c r="H8" s="136" t="s">
        <v>79</v>
      </c>
      <c r="I8" s="244"/>
      <c r="J8" s="245"/>
      <c r="K8" s="159"/>
    </row>
    <row r="9" spans="1:12" ht="32.1" customHeight="1">
      <c r="A9" s="153"/>
      <c r="B9" s="212" t="s">
        <v>76</v>
      </c>
      <c r="C9" s="109"/>
      <c r="D9" s="110"/>
      <c r="E9" s="110"/>
      <c r="F9" s="110"/>
      <c r="G9" s="108"/>
      <c r="H9" s="121" t="s">
        <v>3</v>
      </c>
      <c r="I9" s="240"/>
      <c r="J9" s="240"/>
      <c r="K9" s="157"/>
    </row>
    <row r="10" spans="1:12" ht="32.1" customHeight="1">
      <c r="A10" s="153"/>
      <c r="B10" s="107"/>
      <c r="C10" s="109"/>
      <c r="D10" s="110"/>
      <c r="E10" s="110"/>
      <c r="F10" s="110"/>
      <c r="G10" s="108"/>
      <c r="H10" s="144" t="s">
        <v>80</v>
      </c>
      <c r="I10" s="246"/>
      <c r="J10" s="247"/>
      <c r="K10" s="157"/>
    </row>
    <row r="11" spans="1:12" ht="32.1" customHeight="1">
      <c r="A11" s="153"/>
      <c r="B11" s="120" t="s">
        <v>4</v>
      </c>
      <c r="C11" s="122"/>
      <c r="D11" s="123"/>
      <c r="E11" s="123"/>
      <c r="F11" s="123"/>
      <c r="G11" s="124"/>
      <c r="H11" s="125" t="s">
        <v>5</v>
      </c>
      <c r="I11" s="238"/>
      <c r="J11" s="238"/>
      <c r="K11" s="157"/>
    </row>
    <row r="12" spans="1:12" s="137" customFormat="1" ht="32.1" customHeight="1">
      <c r="A12" s="158"/>
      <c r="B12" s="210" t="s">
        <v>77</v>
      </c>
      <c r="C12" s="141"/>
      <c r="D12" s="142"/>
      <c r="E12" s="142"/>
      <c r="F12" s="142"/>
      <c r="G12" s="143"/>
      <c r="H12" s="144" t="s">
        <v>81</v>
      </c>
      <c r="I12" s="241"/>
      <c r="J12" s="241"/>
      <c r="K12" s="159"/>
    </row>
    <row r="13" spans="1:12" ht="69.75" customHeight="1">
      <c r="A13" s="153"/>
      <c r="B13" s="219" t="s">
        <v>109</v>
      </c>
      <c r="C13" s="220"/>
      <c r="D13" s="220"/>
      <c r="E13" s="220"/>
      <c r="F13" s="220"/>
      <c r="G13" s="220"/>
      <c r="H13" s="220"/>
      <c r="I13" s="220"/>
      <c r="J13" s="221"/>
      <c r="K13" s="157"/>
    </row>
    <row r="14" spans="1:12" ht="60" customHeight="1">
      <c r="A14" s="153"/>
      <c r="B14" s="230" t="s">
        <v>91</v>
      </c>
      <c r="C14" s="231"/>
      <c r="D14" s="231"/>
      <c r="E14" s="231"/>
      <c r="F14" s="231"/>
      <c r="G14" s="231"/>
      <c r="H14" s="231"/>
      <c r="I14" s="231"/>
      <c r="J14" s="232"/>
      <c r="K14" s="157"/>
    </row>
    <row r="15" spans="1:12" ht="27.95" customHeight="1">
      <c r="A15" s="153"/>
      <c r="B15" s="126" t="s">
        <v>6</v>
      </c>
      <c r="C15" s="127"/>
      <c r="D15" s="127"/>
      <c r="E15" s="128" t="s">
        <v>7</v>
      </c>
      <c r="F15" s="128"/>
      <c r="G15" s="128"/>
      <c r="H15" s="126" t="s">
        <v>8</v>
      </c>
      <c r="I15" s="129" t="s">
        <v>9</v>
      </c>
      <c r="J15" s="126" t="s">
        <v>10</v>
      </c>
      <c r="K15" s="157"/>
      <c r="L15" s="96"/>
    </row>
    <row r="16" spans="1:12" ht="27.95" customHeight="1">
      <c r="A16" s="153"/>
      <c r="B16" s="113" t="s">
        <v>82</v>
      </c>
      <c r="C16" s="111"/>
      <c r="D16" s="111"/>
      <c r="E16" s="114" t="s">
        <v>83</v>
      </c>
      <c r="F16" s="112"/>
      <c r="G16" s="112"/>
      <c r="H16" s="113" t="s">
        <v>84</v>
      </c>
      <c r="I16" s="115" t="s">
        <v>85</v>
      </c>
      <c r="J16" s="113" t="s">
        <v>86</v>
      </c>
      <c r="K16" s="157"/>
      <c r="L16" s="96"/>
    </row>
    <row r="17" spans="1:14" ht="32.1" customHeight="1">
      <c r="A17" s="153"/>
      <c r="B17" s="99">
        <v>1</v>
      </c>
      <c r="C17" s="222" t="s">
        <v>105</v>
      </c>
      <c r="D17" s="223"/>
      <c r="E17" s="223"/>
      <c r="F17" s="223"/>
      <c r="G17" s="223"/>
      <c r="H17" s="100" t="s">
        <v>106</v>
      </c>
      <c r="I17" s="101"/>
      <c r="J17" s="100">
        <v>0</v>
      </c>
      <c r="K17" s="160"/>
      <c r="L17" s="96"/>
      <c r="M17" s="96"/>
      <c r="N17" s="96"/>
    </row>
    <row r="18" spans="1:14" ht="32.1" customHeight="1">
      <c r="A18" s="153"/>
      <c r="B18" s="102"/>
      <c r="C18" s="103"/>
      <c r="D18" s="103"/>
      <c r="E18" s="103"/>
      <c r="F18" s="103"/>
      <c r="G18" s="103"/>
      <c r="H18" s="224" t="s">
        <v>16</v>
      </c>
      <c r="I18" s="225"/>
      <c r="J18" s="104">
        <f>(J17)*0.07</f>
        <v>0</v>
      </c>
      <c r="K18" s="157"/>
    </row>
    <row r="19" spans="1:14" ht="32.1" customHeight="1">
      <c r="A19" s="153"/>
      <c r="B19" s="116"/>
      <c r="C19" s="117"/>
      <c r="D19" s="117"/>
      <c r="E19" s="117"/>
      <c r="F19" s="117"/>
      <c r="G19" s="117"/>
      <c r="H19" s="233" t="s">
        <v>92</v>
      </c>
      <c r="I19" s="234"/>
      <c r="J19" s="118"/>
      <c r="K19" s="157"/>
    </row>
    <row r="20" spans="1:14" ht="32.1" customHeight="1">
      <c r="A20" s="153"/>
      <c r="B20" s="250" t="str">
        <f>BAHTTEXT(J20)</f>
        <v>ศูนย์บาทถ้วน</v>
      </c>
      <c r="C20" s="251"/>
      <c r="D20" s="251"/>
      <c r="E20" s="251"/>
      <c r="F20" s="251"/>
      <c r="G20" s="252"/>
      <c r="H20" s="253" t="s">
        <v>17</v>
      </c>
      <c r="I20" s="254"/>
      <c r="J20" s="119">
        <v>0</v>
      </c>
      <c r="K20" s="157"/>
    </row>
    <row r="21" spans="1:14" ht="32.1" customHeight="1">
      <c r="A21" s="153"/>
      <c r="B21" s="226" t="s">
        <v>87</v>
      </c>
      <c r="C21" s="227"/>
      <c r="D21" s="227"/>
      <c r="E21" s="227"/>
      <c r="F21" s="227"/>
      <c r="G21" s="227"/>
      <c r="H21" s="228" t="s">
        <v>88</v>
      </c>
      <c r="I21" s="229"/>
      <c r="J21" s="119"/>
      <c r="K21" s="157"/>
    </row>
    <row r="22" spans="1:14" ht="27.95" customHeight="1">
      <c r="A22" s="153"/>
      <c r="B22" s="201"/>
      <c r="C22" s="202"/>
      <c r="D22" s="202"/>
      <c r="E22" s="202"/>
      <c r="F22" s="202"/>
      <c r="G22" s="202"/>
      <c r="H22" s="204"/>
      <c r="I22" s="204"/>
      <c r="J22" s="205"/>
      <c r="K22" s="157"/>
    </row>
    <row r="23" spans="1:14" ht="27.95" customHeight="1">
      <c r="A23" s="153"/>
      <c r="B23" s="94" t="s">
        <v>63</v>
      </c>
      <c r="C23" s="213" t="s">
        <v>64</v>
      </c>
      <c r="D23" s="213"/>
      <c r="E23" s="213"/>
      <c r="F23" s="130"/>
      <c r="G23" s="130"/>
      <c r="K23" s="157"/>
    </row>
    <row r="24" spans="1:14" s="130" customFormat="1" ht="27.95" customHeight="1">
      <c r="A24" s="162"/>
      <c r="B24" s="163"/>
      <c r="C24" s="214" t="s">
        <v>93</v>
      </c>
      <c r="D24" s="213"/>
      <c r="E24" s="213"/>
      <c r="I24" s="164"/>
      <c r="J24" s="164"/>
      <c r="K24" s="165"/>
    </row>
    <row r="25" spans="1:14" ht="27.95" customHeight="1">
      <c r="A25" s="153"/>
      <c r="B25" s="94">
        <v>1</v>
      </c>
      <c r="C25" s="93" t="s">
        <v>115</v>
      </c>
      <c r="D25" s="161"/>
      <c r="E25" s="161"/>
      <c r="K25" s="157"/>
    </row>
    <row r="26" spans="1:14" ht="27.95" customHeight="1">
      <c r="A26" s="153"/>
      <c r="C26" s="93" t="s">
        <v>116</v>
      </c>
      <c r="D26" s="161"/>
      <c r="E26" s="161"/>
      <c r="K26" s="157"/>
    </row>
    <row r="27" spans="1:14" s="137" customFormat="1" ht="27.95" customHeight="1">
      <c r="A27" s="158"/>
      <c r="B27" s="148"/>
      <c r="C27" s="147" t="s">
        <v>94</v>
      </c>
      <c r="D27" s="147"/>
      <c r="E27" s="147"/>
      <c r="F27" s="147"/>
      <c r="G27" s="147"/>
      <c r="H27" s="147"/>
      <c r="K27" s="166"/>
    </row>
    <row r="28" spans="1:14" s="137" customFormat="1" ht="27.95" customHeight="1">
      <c r="A28" s="158"/>
      <c r="B28" s="167"/>
      <c r="C28" s="147" t="s">
        <v>95</v>
      </c>
      <c r="D28" s="147"/>
      <c r="E28" s="147"/>
      <c r="F28" s="147"/>
      <c r="G28" s="147"/>
      <c r="H28" s="147"/>
      <c r="K28" s="166"/>
    </row>
    <row r="29" spans="1:14" ht="27.95" customHeight="1">
      <c r="A29" s="153"/>
      <c r="B29" s="94">
        <v>2</v>
      </c>
      <c r="C29" s="93" t="s">
        <v>117</v>
      </c>
      <c r="K29" s="157"/>
    </row>
    <row r="30" spans="1:14" s="137" customFormat="1" ht="27.95" customHeight="1">
      <c r="A30" s="158"/>
      <c r="B30" s="148"/>
      <c r="C30" s="147" t="s">
        <v>118</v>
      </c>
      <c r="I30" s="148"/>
      <c r="J30" s="148"/>
      <c r="K30" s="159"/>
    </row>
    <row r="31" spans="1:14" ht="27.95" customHeight="1">
      <c r="A31" s="153"/>
      <c r="B31" s="94">
        <v>3</v>
      </c>
      <c r="C31" s="257" t="s">
        <v>119</v>
      </c>
      <c r="D31" s="258"/>
      <c r="E31" s="258"/>
      <c r="F31" s="258"/>
      <c r="G31" s="258"/>
      <c r="H31" s="258"/>
      <c r="I31" s="258"/>
      <c r="J31" s="258"/>
      <c r="K31" s="157"/>
    </row>
    <row r="32" spans="1:14" ht="27.95" customHeight="1">
      <c r="A32" s="153"/>
      <c r="C32" s="93" t="s">
        <v>120</v>
      </c>
      <c r="D32" s="161"/>
      <c r="E32" s="161"/>
      <c r="K32" s="157"/>
    </row>
    <row r="33" spans="1:11" ht="27.95" customHeight="1">
      <c r="A33" s="153"/>
      <c r="C33" s="93" t="s">
        <v>121</v>
      </c>
      <c r="D33" s="161"/>
      <c r="E33" s="161"/>
      <c r="K33" s="157"/>
    </row>
    <row r="34" spans="1:11" s="137" customFormat="1" ht="27.95" customHeight="1">
      <c r="A34" s="158"/>
      <c r="B34" s="148"/>
      <c r="C34" s="147" t="s">
        <v>122</v>
      </c>
      <c r="D34" s="168"/>
      <c r="E34" s="168"/>
      <c r="F34" s="147"/>
      <c r="G34" s="147"/>
      <c r="H34" s="147"/>
      <c r="I34" s="169"/>
      <c r="J34" s="169"/>
      <c r="K34" s="170"/>
    </row>
    <row r="35" spans="1:11" s="137" customFormat="1" ht="27.95" customHeight="1">
      <c r="A35" s="158"/>
      <c r="B35" s="148"/>
      <c r="C35" s="147" t="s">
        <v>123</v>
      </c>
      <c r="D35" s="171"/>
      <c r="E35" s="171"/>
      <c r="I35" s="148"/>
      <c r="J35" s="148"/>
      <c r="K35" s="166"/>
    </row>
    <row r="36" spans="1:11" s="137" customFormat="1" ht="27.95" customHeight="1">
      <c r="A36" s="158"/>
      <c r="B36" s="148"/>
      <c r="C36" s="147" t="s">
        <v>124</v>
      </c>
      <c r="D36" s="168"/>
      <c r="E36" s="168"/>
      <c r="F36" s="147"/>
      <c r="G36" s="147"/>
      <c r="H36" s="147"/>
      <c r="I36" s="169"/>
      <c r="J36" s="169"/>
      <c r="K36" s="170"/>
    </row>
    <row r="37" spans="1:11" s="137" customFormat="1" ht="27.95" customHeight="1">
      <c r="A37" s="158"/>
      <c r="B37" s="148"/>
      <c r="C37" s="147" t="s">
        <v>125</v>
      </c>
      <c r="D37" s="168"/>
      <c r="E37" s="168"/>
      <c r="F37" s="147"/>
      <c r="G37" s="147"/>
      <c r="H37" s="147"/>
      <c r="I37" s="169"/>
      <c r="J37" s="169"/>
      <c r="K37" s="170"/>
    </row>
    <row r="38" spans="1:11" ht="27.95" customHeight="1">
      <c r="A38" s="153"/>
      <c r="B38" s="154">
        <v>4</v>
      </c>
      <c r="C38" s="93" t="s">
        <v>126</v>
      </c>
      <c r="K38" s="157"/>
    </row>
    <row r="39" spans="1:11" ht="27.95" customHeight="1">
      <c r="A39" s="153"/>
      <c r="B39" s="154" t="s">
        <v>65</v>
      </c>
      <c r="C39" s="93" t="s">
        <v>127</v>
      </c>
      <c r="K39" s="157"/>
    </row>
    <row r="40" spans="1:11" s="137" customFormat="1" ht="27.95" customHeight="1">
      <c r="A40" s="158"/>
      <c r="B40" s="172"/>
      <c r="C40" s="147" t="s">
        <v>96</v>
      </c>
      <c r="I40" s="148"/>
      <c r="J40" s="148"/>
      <c r="K40" s="159"/>
    </row>
    <row r="41" spans="1:11" ht="27.95" customHeight="1">
      <c r="A41" s="153"/>
      <c r="B41" s="154">
        <v>5</v>
      </c>
      <c r="C41" s="93" t="s">
        <v>128</v>
      </c>
      <c r="K41" s="157"/>
    </row>
    <row r="42" spans="1:11" ht="27.95" customHeight="1">
      <c r="A42" s="153"/>
      <c r="B42" s="154"/>
      <c r="C42" s="93" t="s">
        <v>129</v>
      </c>
      <c r="K42" s="157"/>
    </row>
    <row r="43" spans="1:11" s="137" customFormat="1" ht="27.95" customHeight="1">
      <c r="A43" s="158"/>
      <c r="B43" s="172"/>
      <c r="C43" s="147" t="s">
        <v>97</v>
      </c>
      <c r="I43" s="148"/>
      <c r="J43" s="148"/>
      <c r="K43" s="159"/>
    </row>
    <row r="44" spans="1:11" ht="27.95" customHeight="1">
      <c r="A44" s="153"/>
      <c r="B44" s="154">
        <v>6</v>
      </c>
      <c r="C44" s="93" t="s">
        <v>130</v>
      </c>
      <c r="K44" s="157"/>
    </row>
    <row r="45" spans="1:11" ht="27.95" customHeight="1">
      <c r="A45" s="153"/>
      <c r="B45" s="154" t="s">
        <v>66</v>
      </c>
      <c r="C45" s="93" t="s">
        <v>131</v>
      </c>
      <c r="K45" s="157"/>
    </row>
    <row r="46" spans="1:11" s="137" customFormat="1" ht="27.95" customHeight="1">
      <c r="A46" s="158"/>
      <c r="B46" s="172"/>
      <c r="C46" s="147" t="s">
        <v>98</v>
      </c>
      <c r="J46" s="148"/>
      <c r="K46" s="159"/>
    </row>
    <row r="47" spans="1:11" s="137" customFormat="1" ht="27.95" customHeight="1">
      <c r="A47" s="158"/>
      <c r="B47" s="146"/>
      <c r="C47" s="147" t="s">
        <v>99</v>
      </c>
      <c r="J47" s="148"/>
      <c r="K47" s="166"/>
    </row>
    <row r="48" spans="1:11" s="137" customFormat="1" ht="7.5" customHeight="1">
      <c r="A48" s="174"/>
      <c r="B48" s="175"/>
      <c r="C48" s="176"/>
      <c r="D48" s="177"/>
      <c r="E48" s="177"/>
      <c r="F48" s="177"/>
      <c r="G48" s="177"/>
      <c r="H48" s="177"/>
      <c r="I48" s="178"/>
      <c r="J48" s="178"/>
      <c r="K48" s="179"/>
    </row>
    <row r="49" spans="1:11" s="137" customFormat="1" ht="20.100000000000001" customHeight="1">
      <c r="B49" s="172"/>
      <c r="C49" s="147"/>
      <c r="I49" s="148"/>
      <c r="J49" s="148"/>
    </row>
    <row r="50" spans="1:11" s="137" customFormat="1" ht="27.95" customHeight="1">
      <c r="B50" s="172"/>
      <c r="C50" s="147"/>
      <c r="I50" s="148"/>
      <c r="J50" s="148"/>
    </row>
    <row r="51" spans="1:11" s="137" customFormat="1" ht="27.95" customHeight="1">
      <c r="B51" s="172"/>
      <c r="C51" s="147"/>
      <c r="I51" s="148"/>
      <c r="J51" s="148"/>
    </row>
    <row r="52" spans="1:11" s="137" customFormat="1" ht="27.95" customHeight="1">
      <c r="B52" s="172"/>
      <c r="C52" s="147"/>
      <c r="I52" s="148"/>
      <c r="J52" s="148"/>
    </row>
    <row r="53" spans="1:11" s="137" customFormat="1" ht="47.25" customHeight="1">
      <c r="B53" s="172"/>
      <c r="C53" s="147"/>
      <c r="I53" s="148"/>
      <c r="J53" s="207" t="s">
        <v>135</v>
      </c>
    </row>
    <row r="54" spans="1:11" s="137" customFormat="1" ht="29.25" customHeight="1">
      <c r="A54" s="158"/>
      <c r="B54" s="172"/>
      <c r="C54" s="147"/>
      <c r="G54" s="203"/>
      <c r="I54" s="148"/>
      <c r="J54" s="94"/>
      <c r="K54" s="159"/>
    </row>
    <row r="55" spans="1:11" ht="29.1" customHeight="1">
      <c r="A55" s="153"/>
      <c r="B55" s="154">
        <v>7</v>
      </c>
      <c r="C55" s="93" t="s">
        <v>132</v>
      </c>
      <c r="K55" s="157"/>
    </row>
    <row r="56" spans="1:11" s="137" customFormat="1" ht="29.1" customHeight="1">
      <c r="A56" s="158"/>
      <c r="B56" s="172"/>
      <c r="C56" s="147" t="s">
        <v>133</v>
      </c>
      <c r="I56" s="148"/>
      <c r="J56" s="148"/>
      <c r="K56" s="159"/>
    </row>
    <row r="57" spans="1:11" ht="29.1" customHeight="1">
      <c r="A57" s="153"/>
      <c r="B57" s="154">
        <v>8</v>
      </c>
      <c r="C57" s="93" t="s">
        <v>134</v>
      </c>
      <c r="K57" s="157"/>
    </row>
    <row r="58" spans="1:11" ht="29.1" customHeight="1">
      <c r="A58" s="153"/>
      <c r="B58" s="173" t="s">
        <v>65</v>
      </c>
      <c r="C58" s="93" t="s">
        <v>72</v>
      </c>
      <c r="K58" s="157"/>
    </row>
    <row r="59" spans="1:11" ht="29.1" customHeight="1">
      <c r="A59" s="153"/>
      <c r="B59" s="154"/>
      <c r="C59" s="93" t="s">
        <v>71</v>
      </c>
      <c r="K59" s="157"/>
    </row>
    <row r="60" spans="1:11" s="137" customFormat="1" ht="29.1" customHeight="1">
      <c r="A60" s="158"/>
      <c r="B60" s="172"/>
      <c r="C60" s="147" t="s">
        <v>100</v>
      </c>
      <c r="I60" s="148"/>
      <c r="J60" s="148"/>
      <c r="K60" s="159"/>
    </row>
    <row r="61" spans="1:11" s="137" customFormat="1" ht="29.1" customHeight="1">
      <c r="A61" s="158"/>
      <c r="B61" s="172"/>
      <c r="C61" s="147" t="s">
        <v>101</v>
      </c>
      <c r="I61" s="148"/>
      <c r="J61" s="148"/>
      <c r="K61" s="159"/>
    </row>
    <row r="62" spans="1:11" s="137" customFormat="1" ht="29.1" customHeight="1">
      <c r="A62" s="158"/>
      <c r="B62" s="172"/>
      <c r="C62" s="147" t="s">
        <v>102</v>
      </c>
      <c r="I62" s="148"/>
      <c r="J62" s="148"/>
      <c r="K62" s="159"/>
    </row>
    <row r="63" spans="1:11" s="137" customFormat="1" ht="29.1" customHeight="1">
      <c r="A63" s="158"/>
      <c r="B63" s="172"/>
      <c r="C63" s="147"/>
      <c r="I63" s="148"/>
      <c r="J63" s="148"/>
      <c r="K63" s="159"/>
    </row>
    <row r="64" spans="1:11" ht="29.1" customHeight="1">
      <c r="A64" s="153"/>
      <c r="B64" s="94" t="s">
        <v>63</v>
      </c>
      <c r="C64" s="161" t="s">
        <v>67</v>
      </c>
      <c r="K64" s="157"/>
    </row>
    <row r="65" spans="1:15" s="137" customFormat="1" ht="29.1" customHeight="1">
      <c r="A65" s="158"/>
      <c r="B65" s="167"/>
      <c r="C65" s="180" t="s">
        <v>89</v>
      </c>
      <c r="I65" s="148"/>
      <c r="J65" s="148"/>
      <c r="K65" s="159"/>
    </row>
    <row r="66" spans="1:15" ht="29.1" customHeight="1">
      <c r="A66" s="153"/>
      <c r="B66" s="181">
        <v>1</v>
      </c>
      <c r="C66" s="182" t="s">
        <v>110</v>
      </c>
      <c r="D66" s="182"/>
      <c r="E66" s="182"/>
      <c r="F66" s="182"/>
      <c r="G66" s="182"/>
      <c r="H66" s="182"/>
      <c r="I66" s="181"/>
      <c r="J66" s="181"/>
      <c r="K66" s="157"/>
    </row>
    <row r="67" spans="1:15" s="137" customFormat="1" ht="29.1" customHeight="1">
      <c r="A67" s="158"/>
      <c r="B67" s="183"/>
      <c r="C67" s="184" t="s">
        <v>112</v>
      </c>
      <c r="D67" s="185"/>
      <c r="E67" s="215" t="s">
        <v>111</v>
      </c>
      <c r="F67" s="185"/>
      <c r="G67" s="185"/>
      <c r="H67" s="185"/>
      <c r="I67" s="183"/>
      <c r="J67" s="183"/>
      <c r="K67" s="159"/>
    </row>
    <row r="68" spans="1:15" ht="29.1" customHeight="1">
      <c r="A68" s="153"/>
      <c r="B68" s="186">
        <v>2</v>
      </c>
      <c r="C68" s="93" t="s">
        <v>113</v>
      </c>
      <c r="K68" s="157"/>
    </row>
    <row r="69" spans="1:15" s="137" customFormat="1" ht="29.1" customHeight="1">
      <c r="A69" s="158"/>
      <c r="B69" s="187"/>
      <c r="C69" s="188" t="s">
        <v>114</v>
      </c>
      <c r="I69" s="148"/>
      <c r="J69" s="148"/>
      <c r="K69" s="159"/>
    </row>
    <row r="70" spans="1:15" ht="29.1" customHeight="1">
      <c r="A70" s="153"/>
      <c r="B70" s="181">
        <v>3</v>
      </c>
      <c r="C70" s="93" t="s">
        <v>68</v>
      </c>
      <c r="K70" s="157"/>
      <c r="O70" s="95"/>
    </row>
    <row r="71" spans="1:15" s="137" customFormat="1" ht="29.1" customHeight="1">
      <c r="A71" s="158"/>
      <c r="B71" s="183"/>
      <c r="C71" s="147" t="s">
        <v>107</v>
      </c>
      <c r="I71" s="148"/>
      <c r="J71" s="148"/>
      <c r="K71" s="159"/>
      <c r="O71" s="145"/>
    </row>
    <row r="72" spans="1:15" ht="29.1" customHeight="1">
      <c r="A72" s="153"/>
      <c r="B72" s="189"/>
      <c r="C72" s="190"/>
      <c r="D72" s="190"/>
      <c r="E72" s="190"/>
      <c r="F72" s="190"/>
      <c r="G72" s="190"/>
      <c r="H72" s="190"/>
      <c r="I72" s="191"/>
      <c r="J72" s="191"/>
      <c r="K72" s="157"/>
      <c r="O72" s="95"/>
    </row>
    <row r="73" spans="1:15" ht="29.1" customHeight="1">
      <c r="A73" s="153"/>
      <c r="B73" s="256" t="s">
        <v>18</v>
      </c>
      <c r="C73" s="256"/>
      <c r="D73" s="256"/>
      <c r="E73" s="256"/>
      <c r="F73" s="256"/>
      <c r="G73" s="256"/>
      <c r="H73" s="256"/>
      <c r="I73" s="256"/>
      <c r="J73" s="256"/>
      <c r="K73" s="157"/>
      <c r="O73" s="95"/>
    </row>
    <row r="74" spans="1:15" s="137" customFormat="1" ht="29.1" customHeight="1">
      <c r="A74" s="158"/>
      <c r="B74" s="148"/>
      <c r="C74" s="148"/>
      <c r="D74" s="148"/>
      <c r="E74" s="255" t="s">
        <v>90</v>
      </c>
      <c r="F74" s="255"/>
      <c r="G74" s="255"/>
      <c r="H74" s="255"/>
      <c r="I74" s="255"/>
      <c r="J74" s="148"/>
      <c r="K74" s="159"/>
      <c r="O74" s="145"/>
    </row>
    <row r="75" spans="1:15" ht="29.1" customHeight="1">
      <c r="A75" s="153"/>
      <c r="B75" s="256" t="s">
        <v>19</v>
      </c>
      <c r="C75" s="256"/>
      <c r="D75" s="256"/>
      <c r="E75" s="256"/>
      <c r="F75" s="256"/>
      <c r="G75" s="256"/>
      <c r="H75" s="256"/>
      <c r="I75" s="256"/>
      <c r="J75" s="256"/>
      <c r="K75" s="157"/>
      <c r="O75" s="95"/>
    </row>
    <row r="76" spans="1:15" s="137" customFormat="1" ht="29.1" customHeight="1">
      <c r="A76" s="158"/>
      <c r="B76" s="148"/>
      <c r="C76" s="148"/>
      <c r="D76" s="148"/>
      <c r="E76" s="249" t="s">
        <v>108</v>
      </c>
      <c r="F76" s="249"/>
      <c r="G76" s="249"/>
      <c r="H76" s="249"/>
      <c r="I76" s="249"/>
      <c r="J76" s="148"/>
      <c r="K76" s="159"/>
      <c r="O76" s="145"/>
    </row>
    <row r="77" spans="1:15" ht="29.1" customHeight="1">
      <c r="A77" s="153"/>
      <c r="B77" s="256" t="s">
        <v>20</v>
      </c>
      <c r="C77" s="256"/>
      <c r="D77" s="256"/>
      <c r="E77" s="256"/>
      <c r="F77" s="256"/>
      <c r="G77" s="256"/>
      <c r="H77" s="256"/>
      <c r="I77" s="256"/>
      <c r="J77" s="256"/>
      <c r="K77" s="157"/>
      <c r="O77" s="95"/>
    </row>
    <row r="78" spans="1:15" s="137" customFormat="1" ht="29.1" customHeight="1">
      <c r="A78" s="158"/>
      <c r="B78" s="148"/>
      <c r="C78" s="148"/>
      <c r="D78" s="148"/>
      <c r="E78" s="248" t="s">
        <v>103</v>
      </c>
      <c r="F78" s="249"/>
      <c r="G78" s="249"/>
      <c r="H78" s="249"/>
      <c r="I78" s="249"/>
      <c r="J78" s="148"/>
      <c r="K78" s="159"/>
      <c r="O78" s="145"/>
    </row>
    <row r="79" spans="1:15" s="137" customFormat="1" ht="29.1" customHeight="1">
      <c r="A79" s="158"/>
      <c r="B79" s="148"/>
      <c r="C79" s="148"/>
      <c r="D79" s="148"/>
      <c r="E79" s="211"/>
      <c r="F79" s="148"/>
      <c r="G79" s="148"/>
      <c r="H79" s="148"/>
      <c r="I79" s="148"/>
      <c r="J79" s="148"/>
      <c r="K79" s="159"/>
      <c r="O79" s="145"/>
    </row>
    <row r="80" spans="1:15" ht="29.1" customHeight="1">
      <c r="A80" s="153"/>
      <c r="B80" s="93" t="s">
        <v>63</v>
      </c>
      <c r="C80" s="130" t="s">
        <v>69</v>
      </c>
      <c r="D80" s="130"/>
      <c r="E80" s="130"/>
      <c r="F80" s="130"/>
      <c r="G80" s="130"/>
      <c r="H80" s="94"/>
      <c r="K80" s="157"/>
      <c r="O80" s="95"/>
    </row>
    <row r="81" spans="1:15" s="130" customFormat="1" ht="29.1" customHeight="1">
      <c r="A81" s="162"/>
      <c r="B81" s="192" t="s">
        <v>70</v>
      </c>
      <c r="C81" s="206" t="s">
        <v>104</v>
      </c>
      <c r="D81" s="137"/>
      <c r="E81" s="137"/>
      <c r="H81" s="164"/>
      <c r="I81" s="164"/>
      <c r="J81" s="164"/>
      <c r="K81" s="165"/>
      <c r="O81" s="131"/>
    </row>
    <row r="82" spans="1:15" s="130" customFormat="1" ht="12.75" customHeight="1">
      <c r="A82" s="162"/>
      <c r="B82" s="192"/>
      <c r="C82" s="193"/>
      <c r="D82" s="194"/>
      <c r="E82" s="194"/>
      <c r="F82" s="192"/>
      <c r="G82" s="192"/>
      <c r="H82" s="164"/>
      <c r="I82" s="164"/>
      <c r="J82" s="164"/>
      <c r="K82" s="165"/>
      <c r="O82" s="131"/>
    </row>
    <row r="83" spans="1:15" ht="22.5" customHeight="1">
      <c r="A83" s="153"/>
      <c r="B83" s="195"/>
      <c r="C83" s="195"/>
      <c r="D83" s="195"/>
      <c r="E83" s="195"/>
      <c r="F83" s="195"/>
      <c r="G83" s="195"/>
      <c r="H83" s="191"/>
      <c r="I83" s="191"/>
      <c r="J83" s="191"/>
      <c r="K83" s="157"/>
      <c r="O83" s="95"/>
    </row>
    <row r="84" spans="1:15" ht="126" customHeight="1">
      <c r="A84" s="196"/>
      <c r="B84" s="97"/>
      <c r="C84" s="197"/>
      <c r="D84" s="197"/>
      <c r="E84" s="197"/>
      <c r="F84" s="197"/>
      <c r="G84" s="197"/>
      <c r="H84" s="198"/>
      <c r="I84" s="198"/>
      <c r="J84" s="198"/>
      <c r="K84" s="199"/>
      <c r="O84" s="95"/>
    </row>
    <row r="85" spans="1:15" ht="89.25" customHeight="1">
      <c r="K85" s="200"/>
    </row>
    <row r="86" spans="1:15" ht="72.75" customHeight="1">
      <c r="J86" s="209" t="s">
        <v>135</v>
      </c>
    </row>
  </sheetData>
  <mergeCells count="26">
    <mergeCell ref="E78:I78"/>
    <mergeCell ref="B20:G20"/>
    <mergeCell ref="H20:I20"/>
    <mergeCell ref="E74:I74"/>
    <mergeCell ref="E76:I76"/>
    <mergeCell ref="B73:J73"/>
    <mergeCell ref="B75:J75"/>
    <mergeCell ref="B77:J77"/>
    <mergeCell ref="C31:J31"/>
    <mergeCell ref="I5:J5"/>
    <mergeCell ref="I7:J7"/>
    <mergeCell ref="I9:J9"/>
    <mergeCell ref="I12:J12"/>
    <mergeCell ref="I6:J6"/>
    <mergeCell ref="I8:J8"/>
    <mergeCell ref="I10:J10"/>
    <mergeCell ref="I11:J11"/>
    <mergeCell ref="C5:G5"/>
    <mergeCell ref="B13:J13"/>
    <mergeCell ref="C17:G17"/>
    <mergeCell ref="H18:I18"/>
    <mergeCell ref="B21:G21"/>
    <mergeCell ref="H21:I21"/>
    <mergeCell ref="B14:J14"/>
    <mergeCell ref="H19:I19"/>
    <mergeCell ref="C7:G7"/>
  </mergeCells>
  <phoneticPr fontId="49" type="noConversion"/>
  <printOptions horizontalCentered="1"/>
  <pageMargins left="0.27559055118110237" right="0.23622047244094491" top="0.59055118110236227" bottom="0.47244094488188981" header="0.31496062992125984" footer="0.31496062992125984"/>
  <pageSetup paperSize="9" scale="50" fitToHeight="0" orientation="portrait" r:id="rId1"/>
  <headerFooter scaleWithDoc="0" alignWithMargins="0"/>
  <rowBreaks count="1" manualBreakCount="1">
    <brk id="53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246E-2DEA-483F-B034-B2987360C635}">
  <dimension ref="A1:M28"/>
  <sheetViews>
    <sheetView workbookViewId="0">
      <selection activeCell="A3" sqref="A3"/>
    </sheetView>
  </sheetViews>
  <sheetFormatPr defaultColWidth="9" defaultRowHeight="21.75"/>
  <cols>
    <col min="1" max="1" width="109.5703125" style="316" customWidth="1"/>
    <col min="2" max="2" width="11.7109375" style="316" customWidth="1"/>
    <col min="3" max="16384" width="9" style="316"/>
  </cols>
  <sheetData>
    <row r="1" spans="1:13">
      <c r="A1" s="315" t="s">
        <v>163</v>
      </c>
    </row>
    <row r="2" spans="1:13">
      <c r="A2" s="315" t="s">
        <v>136</v>
      </c>
    </row>
    <row r="3" spans="1:13">
      <c r="A3" s="315" t="s">
        <v>137</v>
      </c>
    </row>
    <row r="4" spans="1:13">
      <c r="A4" s="317" t="s">
        <v>138</v>
      </c>
      <c r="B4" s="317" t="s">
        <v>139</v>
      </c>
    </row>
    <row r="5" spans="1:13">
      <c r="A5" s="318" t="s">
        <v>140</v>
      </c>
      <c r="B5" s="319">
        <v>1</v>
      </c>
    </row>
    <row r="6" spans="1:13" s="321" customFormat="1">
      <c r="A6" s="320" t="s">
        <v>141</v>
      </c>
      <c r="B6" s="319">
        <v>2</v>
      </c>
    </row>
    <row r="7" spans="1:13" s="321" customFormat="1">
      <c r="A7" s="320" t="s">
        <v>142</v>
      </c>
      <c r="B7" s="319">
        <v>3</v>
      </c>
    </row>
    <row r="8" spans="1:13">
      <c r="A8" s="322" t="s">
        <v>143</v>
      </c>
      <c r="B8" s="319">
        <v>2</v>
      </c>
    </row>
    <row r="9" spans="1:13">
      <c r="A9" s="322" t="s">
        <v>144</v>
      </c>
      <c r="B9" s="319">
        <v>5</v>
      </c>
    </row>
    <row r="10" spans="1:13">
      <c r="A10" s="320" t="s">
        <v>145</v>
      </c>
      <c r="B10" s="319">
        <v>30</v>
      </c>
      <c r="M10" s="321"/>
    </row>
    <row r="11" spans="1:13">
      <c r="A11" s="322" t="s">
        <v>146</v>
      </c>
      <c r="B11" s="319">
        <v>1</v>
      </c>
    </row>
    <row r="12" spans="1:13" ht="19.899999999999999" customHeight="1">
      <c r="A12" s="318" t="s">
        <v>147</v>
      </c>
      <c r="B12" s="319">
        <v>5</v>
      </c>
    </row>
    <row r="13" spans="1:13">
      <c r="A13" s="318" t="s">
        <v>148</v>
      </c>
      <c r="B13" s="319">
        <v>30</v>
      </c>
    </row>
    <row r="14" spans="1:13">
      <c r="A14" s="318" t="s">
        <v>149</v>
      </c>
      <c r="B14" s="319">
        <v>10</v>
      </c>
    </row>
    <row r="15" spans="1:13">
      <c r="A15" s="318" t="s">
        <v>150</v>
      </c>
      <c r="B15" s="319">
        <v>1</v>
      </c>
    </row>
    <row r="16" spans="1:13">
      <c r="A16" s="318" t="s">
        <v>151</v>
      </c>
      <c r="B16" s="319">
        <v>2</v>
      </c>
    </row>
    <row r="17" spans="1:2">
      <c r="A17" s="318" t="s">
        <v>152</v>
      </c>
      <c r="B17" s="319">
        <v>1</v>
      </c>
    </row>
    <row r="18" spans="1:2">
      <c r="A18" s="318" t="s">
        <v>153</v>
      </c>
      <c r="B18" s="319">
        <v>3</v>
      </c>
    </row>
    <row r="19" spans="1:2">
      <c r="A19" s="318" t="s">
        <v>154</v>
      </c>
      <c r="B19" s="319">
        <v>7</v>
      </c>
    </row>
    <row r="20" spans="1:2">
      <c r="A20" s="318" t="s">
        <v>155</v>
      </c>
      <c r="B20" s="319">
        <v>1</v>
      </c>
    </row>
    <row r="21" spans="1:2">
      <c r="A21" s="323" t="s">
        <v>156</v>
      </c>
      <c r="B21" s="319">
        <v>30</v>
      </c>
    </row>
    <row r="22" spans="1:2">
      <c r="A22" s="318" t="s">
        <v>157</v>
      </c>
      <c r="B22" s="319">
        <v>1</v>
      </c>
    </row>
    <row r="23" spans="1:2">
      <c r="A23" s="318" t="s">
        <v>158</v>
      </c>
      <c r="B23" s="319">
        <v>1</v>
      </c>
    </row>
    <row r="24" spans="1:2">
      <c r="A24" s="323" t="s">
        <v>159</v>
      </c>
      <c r="B24" s="319">
        <v>2</v>
      </c>
    </row>
    <row r="25" spans="1:2">
      <c r="A25" s="323" t="s">
        <v>160</v>
      </c>
      <c r="B25" s="319">
        <v>5</v>
      </c>
    </row>
    <row r="26" spans="1:2">
      <c r="A26" s="323" t="s">
        <v>161</v>
      </c>
      <c r="B26" s="319">
        <v>2</v>
      </c>
    </row>
    <row r="27" spans="1:2">
      <c r="A27" s="318" t="s">
        <v>162</v>
      </c>
      <c r="B27" s="319">
        <v>5</v>
      </c>
    </row>
    <row r="28" spans="1:2">
      <c r="A28" s="324"/>
      <c r="B28" s="324">
        <f>SUM(B5:B27)</f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P57"/>
  <sheetViews>
    <sheetView showWhiteSpace="0" zoomScaleSheetLayoutView="106" workbookViewId="0">
      <selection activeCell="N37" sqref="N37"/>
    </sheetView>
  </sheetViews>
  <sheetFormatPr defaultColWidth="9.140625" defaultRowHeight="24"/>
  <cols>
    <col min="1" max="1" width="9.28515625" style="6" customWidth="1"/>
    <col min="2" max="2" width="7.85546875" style="6" customWidth="1"/>
    <col min="3" max="3" width="10.140625" style="6" customWidth="1"/>
    <col min="4" max="4" width="30.28515625" style="6" customWidth="1"/>
    <col min="5" max="5" width="5" style="6" customWidth="1"/>
    <col min="6" max="6" width="16.5703125" style="6" customWidth="1"/>
    <col min="7" max="7" width="15.42578125" style="6" customWidth="1"/>
    <col min="8" max="8" width="12.7109375" style="7" customWidth="1"/>
    <col min="9" max="9" width="23.5703125" style="6" customWidth="1"/>
    <col min="10" max="16384" width="9.140625" style="6"/>
  </cols>
  <sheetData>
    <row r="1" spans="1:16" ht="24.75" customHeight="1">
      <c r="A1" s="8"/>
      <c r="B1" s="9"/>
      <c r="C1" s="9"/>
      <c r="D1" s="9"/>
      <c r="E1" s="10"/>
      <c r="F1" s="11"/>
      <c r="G1" s="11"/>
      <c r="H1" s="12"/>
      <c r="I1" s="51"/>
    </row>
    <row r="2" spans="1:16" ht="76.900000000000006" customHeight="1">
      <c r="A2" s="13"/>
      <c r="B2" s="14"/>
      <c r="C2" s="14"/>
      <c r="D2" s="14"/>
      <c r="E2" s="15"/>
      <c r="F2" s="15"/>
      <c r="G2" s="15"/>
      <c r="H2" s="16"/>
      <c r="I2" s="54"/>
    </row>
    <row r="3" spans="1:16" s="1" customFormat="1" ht="21" customHeight="1">
      <c r="A3" s="79" t="s">
        <v>0</v>
      </c>
      <c r="B3" s="279"/>
      <c r="C3" s="279"/>
      <c r="D3" s="279"/>
      <c r="E3" s="279"/>
      <c r="F3" s="280"/>
      <c r="G3" s="18" t="s">
        <v>22</v>
      </c>
      <c r="H3" s="292"/>
      <c r="I3" s="293"/>
    </row>
    <row r="4" spans="1:16" s="1" customFormat="1" ht="21" customHeight="1">
      <c r="A4" s="19"/>
      <c r="B4" s="279"/>
      <c r="C4" s="279"/>
      <c r="D4" s="279"/>
      <c r="E4" s="279"/>
      <c r="F4" s="280"/>
      <c r="G4" s="20" t="s">
        <v>23</v>
      </c>
      <c r="H4" s="294"/>
      <c r="I4" s="295"/>
    </row>
    <row r="5" spans="1:16" s="1" customFormat="1" ht="21" customHeight="1">
      <c r="A5" s="19"/>
      <c r="B5" s="279"/>
      <c r="C5" s="279"/>
      <c r="D5" s="279"/>
      <c r="E5" s="279"/>
      <c r="F5" s="280"/>
      <c r="G5" s="20" t="s">
        <v>24</v>
      </c>
      <c r="H5" s="296"/>
      <c r="I5" s="297"/>
    </row>
    <row r="6" spans="1:16" s="1" customFormat="1" ht="21" customHeight="1">
      <c r="A6" s="79" t="s">
        <v>25</v>
      </c>
      <c r="B6" s="279"/>
      <c r="C6" s="279"/>
      <c r="D6" s="279"/>
      <c r="E6" s="279"/>
      <c r="F6" s="280"/>
      <c r="G6" s="20" t="s">
        <v>26</v>
      </c>
      <c r="H6" s="281"/>
      <c r="I6" s="282"/>
      <c r="L6" s="265" t="s">
        <v>27</v>
      </c>
      <c r="M6" s="265"/>
      <c r="N6" s="265"/>
      <c r="O6" s="265"/>
      <c r="P6" s="265"/>
    </row>
    <row r="7" spans="1:16" s="2" customFormat="1" ht="25.15" customHeight="1">
      <c r="A7" s="283" t="s">
        <v>28</v>
      </c>
      <c r="B7" s="284"/>
      <c r="C7" s="284"/>
      <c r="D7" s="284"/>
      <c r="E7" s="284"/>
      <c r="F7" s="284"/>
      <c r="G7" s="284"/>
      <c r="H7" s="284"/>
      <c r="I7" s="285"/>
      <c r="L7" s="265"/>
      <c r="M7" s="265"/>
      <c r="N7" s="265"/>
      <c r="O7" s="265"/>
      <c r="P7" s="265"/>
    </row>
    <row r="8" spans="1:16" s="2" customFormat="1" ht="24" customHeight="1">
      <c r="A8" s="286" t="s">
        <v>29</v>
      </c>
      <c r="B8" s="287"/>
      <c r="C8" s="287"/>
      <c r="D8" s="287"/>
      <c r="E8" s="287"/>
      <c r="F8" s="287"/>
      <c r="G8" s="287"/>
      <c r="H8" s="287"/>
      <c r="I8" s="288"/>
    </row>
    <row r="9" spans="1:16" s="1" customFormat="1" ht="3" customHeight="1">
      <c r="A9" s="80"/>
      <c r="B9" s="21"/>
      <c r="C9" s="21"/>
      <c r="D9" s="21"/>
      <c r="E9" s="21"/>
      <c r="F9" s="21"/>
      <c r="G9" s="21"/>
      <c r="H9" s="22"/>
      <c r="I9" s="88"/>
    </row>
    <row r="10" spans="1:16" s="75" customFormat="1" ht="16.149999999999999" customHeight="1">
      <c r="A10" s="81" t="s">
        <v>6</v>
      </c>
      <c r="B10" s="82"/>
      <c r="C10" s="82"/>
      <c r="D10" s="83" t="s">
        <v>7</v>
      </c>
      <c r="E10" s="83"/>
      <c r="F10" s="82"/>
      <c r="G10" s="84" t="s">
        <v>8</v>
      </c>
      <c r="H10" s="85" t="s">
        <v>9</v>
      </c>
      <c r="I10" s="89" t="s">
        <v>10</v>
      </c>
    </row>
    <row r="11" spans="1:16" s="4" customFormat="1" ht="17.45" customHeight="1">
      <c r="A11" s="27" t="s">
        <v>11</v>
      </c>
      <c r="B11" s="28"/>
      <c r="C11" s="28"/>
      <c r="D11" s="29" t="s">
        <v>12</v>
      </c>
      <c r="E11" s="29"/>
      <c r="F11" s="28"/>
      <c r="G11" s="30" t="s">
        <v>13</v>
      </c>
      <c r="H11" s="31" t="s">
        <v>14</v>
      </c>
      <c r="I11" s="61" t="s">
        <v>15</v>
      </c>
    </row>
    <row r="12" spans="1:16" s="4" customFormat="1" ht="31.15" customHeight="1">
      <c r="A12" s="86">
        <v>1</v>
      </c>
      <c r="B12" s="289" t="s">
        <v>30</v>
      </c>
      <c r="C12" s="290"/>
      <c r="D12" s="290"/>
      <c r="E12" s="290"/>
      <c r="F12" s="291"/>
      <c r="G12" s="33">
        <v>6580</v>
      </c>
      <c r="H12" s="34">
        <v>1</v>
      </c>
      <c r="I12" s="63">
        <v>6580</v>
      </c>
    </row>
    <row r="13" spans="1:16" s="1" customFormat="1" ht="0.75" customHeight="1">
      <c r="A13" s="266" t="str">
        <f>BAHTTEXT(I14)</f>
        <v>หกพันห้าร้อยแปดสิบบาทถ้วน</v>
      </c>
      <c r="B13" s="267"/>
      <c r="C13" s="267"/>
      <c r="D13" s="267"/>
      <c r="E13" s="267"/>
      <c r="F13" s="268"/>
      <c r="G13" s="272"/>
      <c r="H13" s="273"/>
      <c r="I13" s="63"/>
    </row>
    <row r="14" spans="1:16" s="2" customFormat="1" ht="22.9" customHeight="1">
      <c r="A14" s="269"/>
      <c r="B14" s="270"/>
      <c r="C14" s="270"/>
      <c r="D14" s="270"/>
      <c r="E14" s="270"/>
      <c r="F14" s="271"/>
      <c r="G14" s="274" t="s">
        <v>21</v>
      </c>
      <c r="H14" s="275"/>
      <c r="I14" s="90">
        <f>SUM(I12:I13)</f>
        <v>6580</v>
      </c>
    </row>
    <row r="15" spans="1:16" s="2" customFormat="1" ht="19.5" customHeight="1">
      <c r="A15" s="276" t="s">
        <v>31</v>
      </c>
      <c r="B15" s="277"/>
      <c r="C15" s="277"/>
      <c r="D15" s="277"/>
      <c r="E15" s="277"/>
      <c r="F15" s="277"/>
      <c r="G15" s="277"/>
      <c r="H15" s="277"/>
      <c r="I15" s="278"/>
    </row>
    <row r="16" spans="1:16" s="76" customFormat="1" ht="19.5" customHeight="1">
      <c r="A16" s="41" t="s">
        <v>32</v>
      </c>
      <c r="B16" s="87"/>
      <c r="C16" s="87"/>
      <c r="D16" s="87"/>
      <c r="E16" s="87"/>
      <c r="F16" s="87"/>
      <c r="G16" s="87"/>
      <c r="H16" s="87"/>
      <c r="I16" s="91"/>
    </row>
    <row r="17" spans="1:10" s="77" customFormat="1" ht="19.149999999999999" customHeight="1">
      <c r="A17" s="41" t="s">
        <v>33</v>
      </c>
      <c r="B17" s="87"/>
      <c r="C17" s="87"/>
      <c r="D17" s="87"/>
      <c r="E17" s="87"/>
      <c r="F17" s="87"/>
      <c r="G17" s="87"/>
      <c r="H17" s="87"/>
      <c r="I17" s="91"/>
    </row>
    <row r="18" spans="1:10" ht="25.15" customHeight="1">
      <c r="A18" s="35" t="s">
        <v>34</v>
      </c>
      <c r="B18" s="36"/>
      <c r="C18" s="36"/>
      <c r="D18" s="36"/>
      <c r="E18" s="36"/>
      <c r="F18" s="36"/>
      <c r="G18" s="36"/>
      <c r="H18" s="37"/>
      <c r="I18" s="67"/>
    </row>
    <row r="19" spans="1:10" s="5" customFormat="1" ht="18.600000000000001" customHeight="1">
      <c r="A19" s="38" t="s">
        <v>35</v>
      </c>
      <c r="B19" s="39"/>
      <c r="C19" s="39"/>
      <c r="D19" s="39"/>
      <c r="E19" s="39"/>
      <c r="F19" s="39"/>
      <c r="G19" s="39"/>
      <c r="H19" s="40"/>
      <c r="I19" s="68"/>
    </row>
    <row r="20" spans="1:10" s="5" customFormat="1" ht="18.600000000000001" customHeight="1">
      <c r="A20" s="41" t="s">
        <v>36</v>
      </c>
      <c r="B20" s="39"/>
      <c r="C20" s="39"/>
      <c r="D20" s="39"/>
      <c r="E20" s="39"/>
      <c r="F20" s="39"/>
      <c r="G20" s="39"/>
      <c r="H20" s="40"/>
      <c r="I20" s="68"/>
    </row>
    <row r="21" spans="1:10" s="5" customFormat="1" ht="18.600000000000001" customHeight="1">
      <c r="A21" s="38" t="s">
        <v>37</v>
      </c>
      <c r="B21" s="39"/>
      <c r="C21" s="39"/>
      <c r="D21" s="39"/>
      <c r="E21" s="39"/>
      <c r="F21" s="39"/>
      <c r="G21" s="39"/>
      <c r="H21" s="40"/>
      <c r="I21" s="68"/>
    </row>
    <row r="22" spans="1:10" s="5" customFormat="1" ht="18.600000000000001" customHeight="1">
      <c r="A22" s="38" t="s">
        <v>38</v>
      </c>
      <c r="B22" s="39"/>
      <c r="C22" s="39"/>
      <c r="D22" s="39"/>
      <c r="E22" s="39"/>
      <c r="F22" s="39"/>
      <c r="G22" s="39"/>
      <c r="H22" s="40"/>
      <c r="I22" s="68"/>
    </row>
    <row r="23" spans="1:10" s="5" customFormat="1" ht="18.600000000000001" customHeight="1">
      <c r="A23" s="42" t="s">
        <v>39</v>
      </c>
      <c r="B23" s="43"/>
      <c r="C23" s="43"/>
      <c r="D23" s="44" t="s">
        <v>40</v>
      </c>
      <c r="E23" s="44"/>
      <c r="F23" s="44"/>
      <c r="G23" s="44"/>
      <c r="H23" s="45"/>
      <c r="I23" s="69"/>
    </row>
    <row r="24" spans="1:10" s="5" customFormat="1" ht="18.600000000000001" customHeight="1">
      <c r="A24" s="42"/>
      <c r="B24" s="43"/>
      <c r="C24" s="43"/>
      <c r="D24" s="44" t="s">
        <v>41</v>
      </c>
      <c r="E24" s="44"/>
      <c r="F24" s="44"/>
      <c r="G24" s="44"/>
      <c r="H24" s="45"/>
      <c r="I24" s="69"/>
    </row>
    <row r="25" spans="1:10" s="5" customFormat="1" ht="18.600000000000001" customHeight="1">
      <c r="A25" s="42" t="s">
        <v>42</v>
      </c>
      <c r="B25" s="43"/>
      <c r="C25" s="46"/>
      <c r="D25" s="47"/>
      <c r="E25" s="47"/>
      <c r="F25" s="47"/>
      <c r="G25" s="47"/>
      <c r="H25" s="48"/>
      <c r="I25" s="70"/>
    </row>
    <row r="26" spans="1:10" s="5" customFormat="1" ht="18.600000000000001" customHeight="1">
      <c r="A26" s="42" t="s">
        <v>43</v>
      </c>
      <c r="B26" s="43"/>
      <c r="C26" s="46"/>
      <c r="D26" s="47"/>
      <c r="E26" s="47"/>
      <c r="F26" s="47"/>
      <c r="G26" s="47"/>
      <c r="H26" s="48"/>
      <c r="I26" s="70"/>
    </row>
    <row r="27" spans="1:10" s="5" customFormat="1" ht="18.600000000000001" customHeight="1">
      <c r="A27" s="42" t="s">
        <v>44</v>
      </c>
      <c r="B27" s="43"/>
      <c r="C27" s="46"/>
      <c r="D27" s="47"/>
      <c r="E27" s="47"/>
      <c r="F27" s="47"/>
      <c r="G27" s="47"/>
      <c r="H27" s="48"/>
      <c r="I27" s="70"/>
    </row>
    <row r="28" spans="1:10" s="5" customFormat="1" ht="18.600000000000001" customHeight="1">
      <c r="A28" s="49" t="s">
        <v>45</v>
      </c>
      <c r="B28" s="39"/>
      <c r="H28" s="50"/>
      <c r="I28" s="71"/>
    </row>
    <row r="29" spans="1:10" s="5" customFormat="1" ht="18.600000000000001" customHeight="1">
      <c r="A29" s="49" t="s">
        <v>46</v>
      </c>
      <c r="B29" s="39"/>
      <c r="H29" s="50"/>
      <c r="I29" s="71"/>
    </row>
    <row r="30" spans="1:10" s="5" customFormat="1" ht="18.600000000000001" customHeight="1">
      <c r="A30" s="38" t="s">
        <v>47</v>
      </c>
      <c r="B30" s="39"/>
      <c r="G30" s="50"/>
      <c r="H30" s="50"/>
      <c r="I30" s="72"/>
      <c r="J30" s="73"/>
    </row>
    <row r="31" spans="1:10" s="5" customFormat="1" ht="18.600000000000001" customHeight="1">
      <c r="A31" s="49" t="s">
        <v>48</v>
      </c>
      <c r="B31" s="39"/>
      <c r="H31" s="50"/>
      <c r="I31" s="71"/>
      <c r="J31" s="74"/>
    </row>
    <row r="32" spans="1:10" s="5" customFormat="1" ht="18.600000000000001" customHeight="1">
      <c r="A32" s="49" t="s">
        <v>49</v>
      </c>
      <c r="B32" s="39"/>
      <c r="H32" s="50"/>
      <c r="I32" s="71"/>
      <c r="J32" s="73"/>
    </row>
    <row r="33" spans="1:10" s="5" customFormat="1" ht="10.9" customHeight="1">
      <c r="A33" s="49"/>
      <c r="B33" s="39"/>
      <c r="H33" s="50"/>
      <c r="I33" s="71"/>
      <c r="J33" s="73"/>
    </row>
    <row r="34" spans="1:10" s="78" customFormat="1" ht="19.899999999999999" customHeight="1">
      <c r="A34" s="259" t="s">
        <v>18</v>
      </c>
      <c r="B34" s="260"/>
      <c r="C34" s="260"/>
      <c r="D34" s="260"/>
      <c r="E34" s="260"/>
      <c r="F34" s="260"/>
      <c r="G34" s="260"/>
      <c r="H34" s="260"/>
      <c r="I34" s="261"/>
      <c r="J34" s="92"/>
    </row>
    <row r="35" spans="1:10" s="78" customFormat="1" ht="19.899999999999999" customHeight="1">
      <c r="A35" s="259" t="s">
        <v>19</v>
      </c>
      <c r="B35" s="260"/>
      <c r="C35" s="260"/>
      <c r="D35" s="260"/>
      <c r="E35" s="260"/>
      <c r="F35" s="260"/>
      <c r="G35" s="260"/>
      <c r="H35" s="260"/>
      <c r="I35" s="261"/>
      <c r="J35" s="92"/>
    </row>
    <row r="36" spans="1:10" s="78" customFormat="1" ht="19.899999999999999" customHeight="1">
      <c r="A36" s="259" t="s">
        <v>20</v>
      </c>
      <c r="B36" s="260"/>
      <c r="C36" s="260"/>
      <c r="D36" s="260"/>
      <c r="E36" s="260"/>
      <c r="F36" s="260"/>
      <c r="G36" s="260"/>
      <c r="H36" s="260"/>
      <c r="I36" s="261"/>
      <c r="J36" s="92"/>
    </row>
    <row r="37" spans="1:10" s="5" customFormat="1" ht="108" customHeight="1">
      <c r="A37" s="262"/>
      <c r="B37" s="263"/>
      <c r="C37" s="263"/>
      <c r="D37" s="263"/>
      <c r="E37" s="263"/>
      <c r="F37" s="263"/>
      <c r="G37" s="263"/>
      <c r="H37" s="263"/>
      <c r="I37" s="264"/>
      <c r="J37" s="73"/>
    </row>
    <row r="38" spans="1:10" ht="18.75" customHeight="1"/>
    <row r="39" spans="1:10" ht="37.15" customHeight="1"/>
    <row r="52" ht="77.25" customHeight="1"/>
    <row r="55" ht="50.25" customHeight="1"/>
    <row r="56" ht="71.25" customHeight="1"/>
    <row r="57" ht="34.5" customHeight="1"/>
  </sheetData>
  <mergeCells count="20">
    <mergeCell ref="B3:F3"/>
    <mergeCell ref="H3:I3"/>
    <mergeCell ref="B4:F4"/>
    <mergeCell ref="H4:I4"/>
    <mergeCell ref="B5:F5"/>
    <mergeCell ref="H5:I5"/>
    <mergeCell ref="A36:I36"/>
    <mergeCell ref="A37:I37"/>
    <mergeCell ref="L6:P7"/>
    <mergeCell ref="A13:F14"/>
    <mergeCell ref="G13:H13"/>
    <mergeCell ref="G14:H14"/>
    <mergeCell ref="A15:I15"/>
    <mergeCell ref="A34:I34"/>
    <mergeCell ref="A35:I35"/>
    <mergeCell ref="B6:F6"/>
    <mergeCell ref="H6:I6"/>
    <mergeCell ref="A7:I7"/>
    <mergeCell ref="A8:I8"/>
    <mergeCell ref="B12:F12"/>
  </mergeCells>
  <phoneticPr fontId="49" type="noConversion"/>
  <pageMargins left="0.3" right="0.2" top="0.25" bottom="0.25" header="0.3" footer="0.3"/>
  <pageSetup scale="84" orientation="portrait"/>
  <headerFooter>
    <oddHeader>&amp;RFM-SA-02-21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R52"/>
  <sheetViews>
    <sheetView view="pageLayout" zoomScaleNormal="100" workbookViewId="0">
      <selection activeCell="U46" sqref="U46"/>
    </sheetView>
  </sheetViews>
  <sheetFormatPr defaultColWidth="9.140625" defaultRowHeight="24"/>
  <cols>
    <col min="1" max="1" width="8.5703125" style="6" customWidth="1"/>
    <col min="2" max="2" width="7.85546875" style="6" customWidth="1"/>
    <col min="3" max="3" width="10.140625" style="6" customWidth="1"/>
    <col min="4" max="4" width="30.28515625" style="6" customWidth="1"/>
    <col min="5" max="5" width="5" style="6" customWidth="1"/>
    <col min="6" max="6" width="24.28515625" style="6" customWidth="1"/>
    <col min="7" max="7" width="16.85546875" style="6" customWidth="1"/>
    <col min="8" max="8" width="11.85546875" style="7" customWidth="1"/>
    <col min="9" max="9" width="16.5703125" style="6" customWidth="1"/>
    <col min="10" max="10" width="3.42578125" style="6" customWidth="1"/>
    <col min="11" max="11" width="17.7109375" style="6" customWidth="1"/>
    <col min="12" max="16384" width="9.140625" style="6"/>
  </cols>
  <sheetData>
    <row r="1" spans="1:18" ht="24.75" customHeight="1">
      <c r="A1" s="8"/>
      <c r="B1" s="9"/>
      <c r="C1" s="9"/>
      <c r="D1" s="9"/>
      <c r="E1" s="10"/>
      <c r="F1" s="11"/>
      <c r="G1" s="11"/>
      <c r="H1" s="12"/>
      <c r="I1" s="51"/>
      <c r="K1" s="52" t="s">
        <v>50</v>
      </c>
      <c r="L1" s="53"/>
      <c r="M1" s="53"/>
    </row>
    <row r="2" spans="1:18" ht="87.6" customHeight="1">
      <c r="A2" s="13"/>
      <c r="B2" s="14"/>
      <c r="C2" s="14"/>
      <c r="D2" s="14"/>
      <c r="E2" s="15"/>
      <c r="F2" s="15"/>
      <c r="G2" s="15"/>
      <c r="H2" s="16"/>
      <c r="I2" s="54"/>
    </row>
    <row r="3" spans="1:18" s="1" customFormat="1" ht="24" customHeight="1">
      <c r="A3" s="17" t="s">
        <v>0</v>
      </c>
      <c r="B3" s="312" t="s">
        <v>51</v>
      </c>
      <c r="C3" s="312"/>
      <c r="D3" s="312"/>
      <c r="E3" s="312"/>
      <c r="F3" s="313"/>
      <c r="G3" s="18" t="s">
        <v>22</v>
      </c>
      <c r="H3" s="292" t="s">
        <v>52</v>
      </c>
      <c r="I3" s="293"/>
      <c r="K3" s="55"/>
    </row>
    <row r="4" spans="1:18" s="1" customFormat="1" ht="24" customHeight="1">
      <c r="A4" s="19"/>
      <c r="B4" s="312" t="s">
        <v>53</v>
      </c>
      <c r="C4" s="312"/>
      <c r="D4" s="312"/>
      <c r="E4" s="312"/>
      <c r="F4" s="313"/>
      <c r="G4" s="20" t="s">
        <v>23</v>
      </c>
      <c r="H4" s="294" t="s">
        <v>54</v>
      </c>
      <c r="I4" s="295"/>
    </row>
    <row r="5" spans="1:18" s="1" customFormat="1" ht="24" customHeight="1">
      <c r="A5" s="19"/>
      <c r="B5" s="279"/>
      <c r="C5" s="279"/>
      <c r="D5" s="279"/>
      <c r="E5" s="279"/>
      <c r="F5" s="280"/>
      <c r="G5" s="20" t="s">
        <v>24</v>
      </c>
      <c r="H5" s="296" t="s">
        <v>55</v>
      </c>
      <c r="I5" s="297"/>
    </row>
    <row r="6" spans="1:18" s="1" customFormat="1" ht="24" customHeight="1">
      <c r="A6" s="17" t="s">
        <v>25</v>
      </c>
      <c r="B6" s="312" t="s">
        <v>56</v>
      </c>
      <c r="C6" s="312"/>
      <c r="D6" s="312"/>
      <c r="E6" s="312"/>
      <c r="F6" s="313"/>
      <c r="G6" s="20" t="s">
        <v>26</v>
      </c>
      <c r="H6" s="314" t="s">
        <v>57</v>
      </c>
      <c r="I6" s="282"/>
    </row>
    <row r="7" spans="1:18" s="2" customFormat="1" ht="30" customHeight="1">
      <c r="A7" s="283" t="s">
        <v>58</v>
      </c>
      <c r="B7" s="284"/>
      <c r="C7" s="284"/>
      <c r="D7" s="284"/>
      <c r="E7" s="284"/>
      <c r="F7" s="284"/>
      <c r="G7" s="284"/>
      <c r="H7" s="284"/>
      <c r="I7" s="285"/>
    </row>
    <row r="8" spans="1:18" s="2" customFormat="1" ht="19.5" customHeight="1">
      <c r="A8" s="286" t="s">
        <v>29</v>
      </c>
      <c r="B8" s="287"/>
      <c r="C8" s="287"/>
      <c r="D8" s="287"/>
      <c r="E8" s="287"/>
      <c r="F8" s="287"/>
      <c r="G8" s="287"/>
      <c r="H8" s="287"/>
      <c r="I8" s="288"/>
      <c r="L8" s="56"/>
    </row>
    <row r="9" spans="1:18" s="1" customFormat="1" ht="3" customHeight="1">
      <c r="A9" s="21"/>
      <c r="B9" s="21"/>
      <c r="C9" s="21"/>
      <c r="D9" s="21"/>
      <c r="E9" s="21"/>
      <c r="F9" s="21"/>
      <c r="G9" s="21"/>
      <c r="H9" s="22"/>
      <c r="I9" s="57"/>
      <c r="L9" s="58"/>
    </row>
    <row r="10" spans="1:18" s="3" customFormat="1" ht="19.5" customHeight="1">
      <c r="A10" s="23" t="s">
        <v>6</v>
      </c>
      <c r="B10" s="24"/>
      <c r="C10" s="24"/>
      <c r="D10" s="24" t="s">
        <v>7</v>
      </c>
      <c r="E10" s="24"/>
      <c r="F10" s="24"/>
      <c r="G10" s="25" t="s">
        <v>8</v>
      </c>
      <c r="H10" s="26" t="s">
        <v>9</v>
      </c>
      <c r="I10" s="59" t="s">
        <v>10</v>
      </c>
      <c r="L10" s="60"/>
    </row>
    <row r="11" spans="1:18" s="4" customFormat="1" ht="18.75" customHeight="1">
      <c r="A11" s="27" t="s">
        <v>11</v>
      </c>
      <c r="B11" s="28"/>
      <c r="C11" s="28"/>
      <c r="D11" s="29" t="s">
        <v>12</v>
      </c>
      <c r="E11" s="29"/>
      <c r="F11" s="28"/>
      <c r="G11" s="30" t="s">
        <v>13</v>
      </c>
      <c r="H11" s="31" t="s">
        <v>14</v>
      </c>
      <c r="I11" s="61" t="s">
        <v>15</v>
      </c>
      <c r="L11" s="62"/>
      <c r="N11" s="265" t="s">
        <v>27</v>
      </c>
      <c r="O11" s="265"/>
      <c r="P11" s="265"/>
      <c r="Q11" s="265"/>
      <c r="R11" s="265"/>
    </row>
    <row r="12" spans="1:18" s="4" customFormat="1" ht="28.5" customHeight="1">
      <c r="A12" s="32">
        <v>1</v>
      </c>
      <c r="B12" s="289" t="s">
        <v>59</v>
      </c>
      <c r="C12" s="290"/>
      <c r="D12" s="290"/>
      <c r="E12" s="290"/>
      <c r="F12" s="291"/>
      <c r="G12" s="33">
        <v>12500</v>
      </c>
      <c r="H12" s="34">
        <v>1</v>
      </c>
      <c r="I12" s="63">
        <v>12500</v>
      </c>
      <c r="L12" s="62"/>
      <c r="N12" s="265"/>
      <c r="O12" s="265"/>
      <c r="P12" s="265"/>
      <c r="Q12" s="265"/>
      <c r="R12" s="265"/>
    </row>
    <row r="13" spans="1:18" s="1" customFormat="1" ht="0.75" customHeight="1">
      <c r="A13" s="301" t="str">
        <f>BAHTTEXT(I14)</f>
        <v>หนึ่งหมื่นสองพันห้าร้อยบาทถ้วน</v>
      </c>
      <c r="B13" s="302"/>
      <c r="C13" s="302"/>
      <c r="D13" s="302"/>
      <c r="E13" s="302"/>
      <c r="F13" s="303"/>
      <c r="G13" s="272"/>
      <c r="H13" s="273"/>
      <c r="I13" s="63"/>
      <c r="L13" s="64"/>
      <c r="M13" s="64"/>
      <c r="N13" s="64"/>
    </row>
    <row r="14" spans="1:18" s="2" customFormat="1" ht="24.75" customHeight="1">
      <c r="A14" s="304"/>
      <c r="B14" s="305"/>
      <c r="C14" s="305"/>
      <c r="D14" s="305"/>
      <c r="E14" s="305"/>
      <c r="F14" s="306"/>
      <c r="G14" s="307" t="s">
        <v>21</v>
      </c>
      <c r="H14" s="308"/>
      <c r="I14" s="65">
        <f>SUM(I12:I13)</f>
        <v>12500</v>
      </c>
      <c r="L14" s="66"/>
      <c r="M14" s="66"/>
      <c r="N14" s="66"/>
    </row>
    <row r="15" spans="1:18" ht="27.6" customHeight="1">
      <c r="A15" s="35" t="s">
        <v>34</v>
      </c>
      <c r="B15" s="36"/>
      <c r="C15" s="36"/>
      <c r="D15" s="36"/>
      <c r="E15" s="36"/>
      <c r="F15" s="36"/>
      <c r="G15" s="36"/>
      <c r="H15" s="37"/>
      <c r="I15" s="67"/>
    </row>
    <row r="16" spans="1:18" s="5" customFormat="1" ht="19.149999999999999" customHeight="1">
      <c r="A16" s="38" t="s">
        <v>60</v>
      </c>
      <c r="B16" s="39"/>
      <c r="C16" s="39"/>
      <c r="D16" s="39"/>
      <c r="E16" s="39"/>
      <c r="F16" s="39"/>
      <c r="G16" s="39"/>
      <c r="H16" s="40"/>
      <c r="I16" s="68"/>
    </row>
    <row r="17" spans="1:15" s="5" customFormat="1" ht="19.149999999999999" customHeight="1">
      <c r="A17" s="41" t="s">
        <v>36</v>
      </c>
      <c r="B17" s="39"/>
      <c r="C17" s="39"/>
      <c r="D17" s="39"/>
      <c r="E17" s="39"/>
      <c r="F17" s="39"/>
      <c r="G17" s="39"/>
      <c r="H17" s="40"/>
      <c r="I17" s="68"/>
    </row>
    <row r="18" spans="1:15" s="5" customFormat="1" ht="19.149999999999999" customHeight="1">
      <c r="A18" s="309" t="s">
        <v>37</v>
      </c>
      <c r="B18" s="310"/>
      <c r="C18" s="310"/>
      <c r="D18" s="310"/>
      <c r="E18" s="310"/>
      <c r="F18" s="310"/>
      <c r="G18" s="310"/>
      <c r="H18" s="310"/>
      <c r="I18" s="311"/>
    </row>
    <row r="19" spans="1:15" s="5" customFormat="1" ht="19.149999999999999" customHeight="1">
      <c r="A19" s="38" t="s">
        <v>38</v>
      </c>
      <c r="B19" s="39"/>
      <c r="C19" s="39"/>
      <c r="D19" s="39"/>
      <c r="E19" s="39"/>
      <c r="F19" s="39"/>
      <c r="G19" s="39"/>
      <c r="H19" s="40"/>
      <c r="I19" s="68"/>
    </row>
    <row r="20" spans="1:15" s="5" customFormat="1" ht="19.149999999999999" customHeight="1">
      <c r="A20" s="42" t="s">
        <v>61</v>
      </c>
      <c r="B20" s="43"/>
      <c r="C20" s="43"/>
      <c r="D20" s="44" t="s">
        <v>62</v>
      </c>
      <c r="E20" s="44"/>
      <c r="F20" s="44"/>
      <c r="G20" s="44"/>
      <c r="H20" s="45"/>
      <c r="I20" s="69"/>
    </row>
    <row r="21" spans="1:15" s="5" customFormat="1" ht="19.149999999999999" customHeight="1">
      <c r="A21" s="42" t="s">
        <v>42</v>
      </c>
      <c r="B21" s="43"/>
      <c r="C21" s="46"/>
      <c r="D21" s="47"/>
      <c r="E21" s="47"/>
      <c r="F21" s="47"/>
      <c r="G21" s="47"/>
      <c r="H21" s="48"/>
      <c r="I21" s="70"/>
    </row>
    <row r="22" spans="1:15" s="5" customFormat="1" ht="19.149999999999999" customHeight="1">
      <c r="A22" s="42" t="s">
        <v>43</v>
      </c>
      <c r="B22" s="43"/>
      <c r="C22" s="46"/>
      <c r="D22" s="47"/>
      <c r="E22" s="47"/>
      <c r="F22" s="47"/>
      <c r="G22" s="47"/>
      <c r="H22" s="48"/>
      <c r="I22" s="70"/>
    </row>
    <row r="23" spans="1:15" s="5" customFormat="1" ht="19.149999999999999" customHeight="1">
      <c r="A23" s="42" t="s">
        <v>44</v>
      </c>
      <c r="B23" s="43"/>
      <c r="C23" s="46"/>
      <c r="D23" s="47"/>
      <c r="E23" s="47"/>
      <c r="F23" s="47"/>
      <c r="G23" s="47"/>
      <c r="H23" s="48"/>
      <c r="I23" s="70"/>
    </row>
    <row r="24" spans="1:15" s="5" customFormat="1" ht="19.149999999999999" customHeight="1">
      <c r="A24" s="49" t="s">
        <v>45</v>
      </c>
      <c r="B24" s="39"/>
      <c r="H24" s="50"/>
      <c r="I24" s="71"/>
    </row>
    <row r="25" spans="1:15" s="5" customFormat="1" ht="19.149999999999999" customHeight="1">
      <c r="A25" s="49" t="s">
        <v>46</v>
      </c>
      <c r="B25" s="39"/>
      <c r="H25" s="50"/>
      <c r="I25" s="71"/>
    </row>
    <row r="26" spans="1:15" s="5" customFormat="1" ht="19.149999999999999" customHeight="1">
      <c r="A26" s="38" t="s">
        <v>47</v>
      </c>
      <c r="B26" s="39"/>
      <c r="G26" s="50"/>
      <c r="H26" s="50"/>
      <c r="I26" s="72"/>
      <c r="O26" s="73"/>
    </row>
    <row r="27" spans="1:15" s="5" customFormat="1" ht="19.149999999999999" customHeight="1">
      <c r="A27" s="49" t="s">
        <v>48</v>
      </c>
      <c r="B27" s="39"/>
      <c r="H27" s="50"/>
      <c r="I27" s="71"/>
      <c r="M27" s="74"/>
      <c r="N27" s="74"/>
      <c r="O27" s="74"/>
    </row>
    <row r="28" spans="1:15" s="5" customFormat="1" ht="19.149999999999999" customHeight="1">
      <c r="A28" s="49" t="s">
        <v>49</v>
      </c>
      <c r="B28" s="39"/>
      <c r="H28" s="50"/>
      <c r="I28" s="71"/>
      <c r="O28" s="73"/>
    </row>
    <row r="29" spans="1:15" s="5" customFormat="1" ht="13.9" customHeight="1">
      <c r="A29" s="49"/>
      <c r="B29" s="39"/>
      <c r="H29" s="50"/>
      <c r="I29" s="71"/>
      <c r="O29" s="73"/>
    </row>
    <row r="30" spans="1:15" s="5" customFormat="1" ht="24.75" customHeight="1">
      <c r="A30" s="298" t="s">
        <v>18</v>
      </c>
      <c r="B30" s="299"/>
      <c r="C30" s="299"/>
      <c r="D30" s="299"/>
      <c r="E30" s="299"/>
      <c r="F30" s="299"/>
      <c r="G30" s="299"/>
      <c r="H30" s="299"/>
      <c r="I30" s="300"/>
      <c r="O30" s="73"/>
    </row>
    <row r="31" spans="1:15" s="5" customFormat="1" ht="21" customHeight="1">
      <c r="A31" s="298" t="s">
        <v>19</v>
      </c>
      <c r="B31" s="299"/>
      <c r="C31" s="299"/>
      <c r="D31" s="299"/>
      <c r="E31" s="299"/>
      <c r="F31" s="299"/>
      <c r="G31" s="299"/>
      <c r="H31" s="299"/>
      <c r="I31" s="300"/>
      <c r="O31" s="73"/>
    </row>
    <row r="32" spans="1:15" s="5" customFormat="1" ht="21" customHeight="1">
      <c r="A32" s="298" t="s">
        <v>20</v>
      </c>
      <c r="B32" s="299"/>
      <c r="C32" s="299"/>
      <c r="D32" s="299"/>
      <c r="E32" s="299"/>
      <c r="F32" s="299"/>
      <c r="G32" s="299"/>
      <c r="H32" s="299"/>
      <c r="I32" s="300"/>
      <c r="O32" s="73"/>
    </row>
    <row r="33" spans="1:15" s="5" customFormat="1" ht="125.45" customHeight="1">
      <c r="A33" s="262"/>
      <c r="B33" s="263"/>
      <c r="C33" s="263"/>
      <c r="D33" s="263"/>
      <c r="E33" s="263"/>
      <c r="F33" s="263"/>
      <c r="G33" s="263"/>
      <c r="H33" s="263"/>
      <c r="I33" s="264"/>
      <c r="O33" s="73"/>
    </row>
    <row r="34" spans="1:15" ht="29.45" customHeight="1"/>
    <row r="35" spans="1:15" ht="42" customHeight="1"/>
    <row r="47" spans="1:15" ht="77.25" customHeight="1"/>
    <row r="50" ht="50.25" customHeight="1"/>
    <row r="51" ht="71.25" customHeight="1"/>
    <row r="52" ht="34.5" customHeight="1"/>
  </sheetData>
  <mergeCells count="20">
    <mergeCell ref="B3:F3"/>
    <mergeCell ref="H3:I3"/>
    <mergeCell ref="B4:F4"/>
    <mergeCell ref="H4:I4"/>
    <mergeCell ref="B5:F5"/>
    <mergeCell ref="H5:I5"/>
    <mergeCell ref="B6:F6"/>
    <mergeCell ref="H6:I6"/>
    <mergeCell ref="A7:I7"/>
    <mergeCell ref="A8:I8"/>
    <mergeCell ref="B12:F12"/>
    <mergeCell ref="A32:I32"/>
    <mergeCell ref="A33:I33"/>
    <mergeCell ref="A13:F14"/>
    <mergeCell ref="N11:R12"/>
    <mergeCell ref="G13:H13"/>
    <mergeCell ref="G14:H14"/>
    <mergeCell ref="A18:I18"/>
    <mergeCell ref="A30:I30"/>
    <mergeCell ref="A31:I31"/>
  </mergeCells>
  <phoneticPr fontId="49" type="noConversion"/>
  <pageMargins left="0.2" right="0.2" top="0.25" bottom="0.25" header="0.3" footer="0.3"/>
  <pageSetup scale="85" orientation="portrait" r:id="rId1"/>
  <headerFooter>
    <oddHeader>&amp;RFM-SA-02-22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2</vt:i4>
      </vt:variant>
    </vt:vector>
  </HeadingPairs>
  <TitlesOfParts>
    <vt:vector size="6" baseType="lpstr">
      <vt:lpstr>พม่า-คนใหม่ (ฟรี 5 คนขึ้นไป)</vt:lpstr>
      <vt:lpstr>Sheet1</vt:lpstr>
      <vt:lpstr>เสนอราคาต่อปี5-6(Visa1Work1)</vt:lpstr>
      <vt:lpstr>เสนอราคาต่อปี5-6(VisaWorkปีที่2</vt:lpstr>
      <vt:lpstr>'พม่า-คนใหม่ (ฟรี 5 คนขึ้นไป)'!Print_Area</vt:lpstr>
      <vt:lpstr>'พม่า-คนใหม่ (ฟรี 5 คนขึ้นไป)'!Print_Titles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Valued Customer</dc:creator>
  <cp:lastModifiedBy>Rungtiwa Chaipunya แป้ง</cp:lastModifiedBy>
  <cp:lastPrinted>2026-04-28T01:25:32Z</cp:lastPrinted>
  <dcterms:created xsi:type="dcterms:W3CDTF">1999-09-13T06:57:00Z</dcterms:created>
  <dcterms:modified xsi:type="dcterms:W3CDTF">2026-04-28T05:16:53Z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0D20858289E14233AA7259E323FFF24B</vt:lpwstr>
  </property>
  <property fmtid="{D5CDD505-2E9C-101B-9397-08002B2CF9AE}" pid="3" name="KSOProductBuildVer">
    <vt:lpwstr>1054-11.2.0.11537</vt:lpwstr>
  </property>
</Properties>
</file>